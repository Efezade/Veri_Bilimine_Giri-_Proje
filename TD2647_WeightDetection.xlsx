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xD\Desktop\LOAD_EST\VERİLER\ARA DEĞER VERİLERİ\"/>
    </mc:Choice>
  </mc:AlternateContent>
  <xr:revisionPtr revIDLastSave="0" documentId="13_ncr:1_{C7E91EEF-48AA-450B-89DD-80E3B045E497}" xr6:coauthVersionLast="47" xr6:coauthVersionMax="47" xr10:uidLastSave="{00000000-0000-0000-0000-000000000000}"/>
  <bookViews>
    <workbookView xWindow="-96" yWindow="0" windowWidth="11712" windowHeight="12336" tabRatio="534" firstSheet="1" activeTab="1" xr2:uid="{00000000-000D-0000-FFFF-FFFF00000000}"/>
  </bookViews>
  <sheets>
    <sheet name="Summary of results" sheetId="30" r:id="rId1"/>
    <sheet name="Table tests" sheetId="31" r:id="rId2"/>
    <sheet name="Components" sheetId="33" r:id="rId3"/>
    <sheet name="TD info" sheetId="34" r:id="rId4"/>
    <sheet name="OLD TD info" sheetId="35" r:id="rId5"/>
  </sheets>
  <definedNames>
    <definedName name="_xlnm.Print_Area" localSheetId="0">'Summary of results'!$B$6:$K$51</definedName>
    <definedName name="_xlnm.Print_Area" localSheetId="1">'Table tests'!#REF!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4" i="31" l="1"/>
  <c r="G80" i="31" l="1"/>
  <c r="G81" i="31"/>
  <c r="G82" i="31"/>
  <c r="G83" i="31"/>
  <c r="G85" i="31"/>
  <c r="G86" i="31"/>
  <c r="G87" i="31"/>
  <c r="G88" i="31"/>
  <c r="G89" i="31"/>
  <c r="N89" i="31" s="1"/>
  <c r="G90" i="31"/>
  <c r="O90" i="31" s="1"/>
  <c r="G91" i="31"/>
  <c r="G92" i="31"/>
  <c r="G93" i="31"/>
  <c r="G94" i="31"/>
  <c r="I80" i="31"/>
  <c r="O80" i="31" s="1"/>
  <c r="I81" i="31"/>
  <c r="I82" i="31"/>
  <c r="I83" i="31"/>
  <c r="I84" i="31"/>
  <c r="N84" i="31" s="1"/>
  <c r="I85" i="31"/>
  <c r="I86" i="31"/>
  <c r="I87" i="31"/>
  <c r="I88" i="31"/>
  <c r="I89" i="31"/>
  <c r="I90" i="31"/>
  <c r="I91" i="31"/>
  <c r="I92" i="31"/>
  <c r="I93" i="31"/>
  <c r="I94" i="31"/>
  <c r="P80" i="31"/>
  <c r="P81" i="31"/>
  <c r="P82" i="31"/>
  <c r="P83" i="31"/>
  <c r="P84" i="31"/>
  <c r="P85" i="31"/>
  <c r="P86" i="31"/>
  <c r="P87" i="31"/>
  <c r="P88" i="31"/>
  <c r="P89" i="31"/>
  <c r="P90" i="31"/>
  <c r="P91" i="31"/>
  <c r="P92" i="31"/>
  <c r="P93" i="31"/>
  <c r="P94" i="31"/>
  <c r="N92" i="31" l="1"/>
  <c r="N88" i="31"/>
  <c r="O89" i="31"/>
  <c r="O87" i="31"/>
  <c r="O86" i="31"/>
  <c r="O85" i="31"/>
  <c r="N87" i="31"/>
  <c r="N81" i="31"/>
  <c r="O92" i="31"/>
  <c r="O91" i="31"/>
  <c r="N91" i="31"/>
  <c r="N85" i="31"/>
  <c r="N93" i="31"/>
  <c r="O84" i="31"/>
  <c r="N80" i="31"/>
  <c r="N90" i="31"/>
  <c r="O88" i="31"/>
  <c r="N86" i="31"/>
  <c r="N83" i="31"/>
  <c r="O94" i="31"/>
  <c r="O82" i="31"/>
  <c r="O93" i="31"/>
  <c r="O81" i="31"/>
  <c r="O83" i="31"/>
  <c r="N94" i="31"/>
  <c r="N82" i="31"/>
  <c r="G78" i="31"/>
  <c r="G79" i="31"/>
  <c r="P75" i="31" l="1"/>
  <c r="I75" i="31"/>
  <c r="G75" i="31"/>
  <c r="N75" i="31" l="1"/>
  <c r="P79" i="31"/>
  <c r="P68" i="31"/>
  <c r="P69" i="31"/>
  <c r="P70" i="31"/>
  <c r="P71" i="31"/>
  <c r="P72" i="31"/>
  <c r="P73" i="31"/>
  <c r="P74" i="31"/>
  <c r="P76" i="31"/>
  <c r="P77" i="31"/>
  <c r="P78" i="31"/>
  <c r="I79" i="31"/>
  <c r="I68" i="31"/>
  <c r="I69" i="31"/>
  <c r="I70" i="31"/>
  <c r="I71" i="31"/>
  <c r="I72" i="31"/>
  <c r="I73" i="31"/>
  <c r="I74" i="31"/>
  <c r="I76" i="31"/>
  <c r="I77" i="31"/>
  <c r="I78" i="31"/>
  <c r="G68" i="31"/>
  <c r="G69" i="31"/>
  <c r="G70" i="31"/>
  <c r="G71" i="31"/>
  <c r="G72" i="31"/>
  <c r="G73" i="31"/>
  <c r="G74" i="31"/>
  <c r="G76" i="31"/>
  <c r="G77" i="31"/>
  <c r="N68" i="31" l="1"/>
  <c r="O78" i="31"/>
  <c r="O79" i="31"/>
  <c r="N69" i="31"/>
  <c r="O77" i="31"/>
  <c r="O76" i="31"/>
  <c r="N78" i="31"/>
  <c r="N77" i="31"/>
  <c r="N76" i="31"/>
  <c r="O74" i="31"/>
  <c r="N74" i="31"/>
  <c r="O75" i="31"/>
  <c r="O73" i="31"/>
  <c r="N73" i="31"/>
  <c r="N72" i="31"/>
  <c r="O72" i="31"/>
  <c r="N71" i="31"/>
  <c r="N70" i="31"/>
  <c r="O69" i="31"/>
  <c r="N79" i="31"/>
  <c r="O71" i="31"/>
  <c r="O70" i="31"/>
  <c r="O68" i="31"/>
  <c r="P65" i="31"/>
  <c r="I65" i="31"/>
  <c r="G65" i="31"/>
  <c r="N65" i="31" l="1"/>
  <c r="O65" i="31"/>
  <c r="P67" i="31"/>
  <c r="G62" i="31"/>
  <c r="G63" i="31"/>
  <c r="G64" i="31"/>
  <c r="G66" i="31"/>
  <c r="G67" i="31"/>
  <c r="I62" i="31"/>
  <c r="I63" i="31"/>
  <c r="I64" i="31"/>
  <c r="I66" i="31"/>
  <c r="I67" i="31"/>
  <c r="P62" i="31"/>
  <c r="P63" i="31"/>
  <c r="P64" i="31"/>
  <c r="P66" i="31"/>
  <c r="P61" i="31"/>
  <c r="I61" i="31"/>
  <c r="G61" i="31"/>
  <c r="P60" i="31"/>
  <c r="O67" i="31" l="1"/>
  <c r="N66" i="31"/>
  <c r="O66" i="31"/>
  <c r="O62" i="31"/>
  <c r="N67" i="31"/>
  <c r="N61" i="31"/>
  <c r="N64" i="31"/>
  <c r="N63" i="31"/>
  <c r="O61" i="31"/>
  <c r="N62" i="31"/>
  <c r="O63" i="31"/>
  <c r="O64" i="31"/>
  <c r="I60" i="31"/>
  <c r="G60" i="31"/>
  <c r="N60" i="31" l="1"/>
  <c r="O60" i="31"/>
  <c r="P50" i="31"/>
  <c r="P51" i="31"/>
  <c r="P52" i="31"/>
  <c r="P53" i="31"/>
  <c r="P54" i="31"/>
  <c r="P55" i="31"/>
  <c r="P56" i="31"/>
  <c r="P57" i="31"/>
  <c r="P58" i="31"/>
  <c r="P59" i="31"/>
  <c r="I50" i="31"/>
  <c r="I51" i="31"/>
  <c r="I52" i="31"/>
  <c r="I53" i="31"/>
  <c r="I54" i="31"/>
  <c r="I55" i="31"/>
  <c r="I56" i="31"/>
  <c r="I57" i="31"/>
  <c r="I58" i="31"/>
  <c r="I59" i="31"/>
  <c r="G50" i="31"/>
  <c r="G51" i="31"/>
  <c r="G52" i="31"/>
  <c r="G53" i="31"/>
  <c r="G54" i="31"/>
  <c r="G55" i="31"/>
  <c r="G56" i="31"/>
  <c r="G57" i="31"/>
  <c r="G58" i="31"/>
  <c r="G59" i="31"/>
  <c r="N52" i="31" l="1"/>
  <c r="O59" i="31"/>
  <c r="O58" i="31"/>
  <c r="N59" i="31"/>
  <c r="N54" i="31"/>
  <c r="N50" i="31"/>
  <c r="N58" i="31"/>
  <c r="N57" i="31"/>
  <c r="O57" i="31"/>
  <c r="O56" i="31"/>
  <c r="N56" i="31"/>
  <c r="O55" i="31"/>
  <c r="N55" i="31"/>
  <c r="O54" i="31"/>
  <c r="N53" i="31"/>
  <c r="O53" i="31"/>
  <c r="O52" i="31"/>
  <c r="N51" i="31"/>
  <c r="O51" i="31"/>
  <c r="O50" i="31"/>
  <c r="P49" i="31"/>
  <c r="I49" i="31"/>
  <c r="G49" i="31"/>
  <c r="O49" i="31" l="1"/>
  <c r="N49" i="31"/>
  <c r="P43" i="31"/>
  <c r="P44" i="31"/>
  <c r="P45" i="31"/>
  <c r="P46" i="31"/>
  <c r="P47" i="31"/>
  <c r="P48" i="31"/>
  <c r="G43" i="31" l="1"/>
  <c r="G44" i="31"/>
  <c r="G45" i="31"/>
  <c r="G46" i="31"/>
  <c r="G47" i="31"/>
  <c r="G48" i="31"/>
  <c r="I43" i="31"/>
  <c r="I44" i="31"/>
  <c r="I45" i="31"/>
  <c r="I46" i="31"/>
  <c r="I47" i="31"/>
  <c r="I48" i="31"/>
  <c r="O45" i="31" l="1"/>
  <c r="N46" i="31"/>
  <c r="N48" i="31"/>
  <c r="N47" i="31"/>
  <c r="O47" i="31"/>
  <c r="N44" i="31"/>
  <c r="N43" i="31"/>
  <c r="O48" i="31"/>
  <c r="N45" i="31"/>
  <c r="O44" i="31"/>
  <c r="O43" i="31"/>
  <c r="O46" i="31"/>
  <c r="P42" i="31"/>
  <c r="I42" i="31"/>
  <c r="G42" i="31"/>
  <c r="P41" i="31"/>
  <c r="I41" i="31"/>
  <c r="G41" i="31"/>
  <c r="P40" i="31"/>
  <c r="I40" i="31"/>
  <c r="G40" i="31"/>
  <c r="O41" i="31" l="1"/>
  <c r="O42" i="31"/>
  <c r="O40" i="31"/>
  <c r="N42" i="31"/>
  <c r="N40" i="31"/>
  <c r="N41" i="31"/>
  <c r="G37" i="31" l="1"/>
  <c r="G38" i="31"/>
  <c r="G39" i="31"/>
  <c r="I36" i="31"/>
  <c r="I37" i="31"/>
  <c r="I38" i="31"/>
  <c r="I39" i="31"/>
  <c r="P36" i="31"/>
  <c r="P37" i="31"/>
  <c r="P38" i="31"/>
  <c r="P39" i="31"/>
  <c r="G36" i="31"/>
  <c r="O38" i="31" l="1"/>
  <c r="N38" i="31"/>
  <c r="O37" i="31"/>
  <c r="N37" i="31"/>
  <c r="O36" i="31"/>
  <c r="N36" i="31"/>
  <c r="O39" i="31"/>
  <c r="N39" i="31"/>
  <c r="P35" i="31"/>
  <c r="I35" i="31"/>
  <c r="G35" i="31" l="1"/>
  <c r="N35" i="31" l="1"/>
  <c r="O35" i="31"/>
  <c r="P34" i="31"/>
  <c r="I34" i="31"/>
  <c r="G34" i="31"/>
  <c r="P33" i="31"/>
  <c r="I33" i="31"/>
  <c r="G33" i="31"/>
  <c r="O34" i="31" l="1"/>
  <c r="O33" i="31"/>
  <c r="N34" i="31"/>
  <c r="N33" i="31"/>
  <c r="L98" i="31"/>
  <c r="L99" i="31"/>
  <c r="H98" i="31"/>
  <c r="H99" i="31"/>
  <c r="J98" i="31"/>
  <c r="J99" i="31"/>
  <c r="K98" i="31"/>
  <c r="K99" i="31"/>
  <c r="F98" i="31" l="1"/>
  <c r="F99" i="31"/>
  <c r="P30" i="31" l="1"/>
  <c r="P31" i="31"/>
  <c r="P32" i="31"/>
  <c r="I30" i="31"/>
  <c r="I31" i="31"/>
  <c r="I32" i="31"/>
  <c r="G31" i="31"/>
  <c r="G32" i="31"/>
  <c r="G30" i="31"/>
  <c r="O32" i="31" l="1"/>
  <c r="O30" i="31"/>
  <c r="N31" i="31"/>
  <c r="N30" i="31"/>
  <c r="O31" i="31"/>
  <c r="N32" i="31"/>
  <c r="P29" i="31"/>
  <c r="I29" i="31"/>
  <c r="G29" i="31"/>
  <c r="N29" i="31" l="1"/>
  <c r="O29" i="31"/>
  <c r="G28" i="31"/>
  <c r="I28" i="31"/>
  <c r="P28" i="31"/>
  <c r="N28" i="31" l="1"/>
  <c r="O28" i="31"/>
  <c r="P27" i="31"/>
  <c r="I27" i="31"/>
  <c r="G27" i="31"/>
  <c r="N27" i="31" l="1"/>
  <c r="O27" i="31"/>
  <c r="P26" i="31"/>
  <c r="I26" i="31"/>
  <c r="G26" i="31"/>
  <c r="G25" i="31"/>
  <c r="G24" i="31"/>
  <c r="N26" i="31" l="1"/>
  <c r="O26" i="31"/>
  <c r="P25" i="31" l="1"/>
  <c r="I25" i="31"/>
  <c r="O25" i="31" s="1"/>
  <c r="N25" i="31" l="1"/>
  <c r="P24" i="31"/>
  <c r="I24" i="31"/>
  <c r="O24" i="31" l="1"/>
  <c r="N24" i="31"/>
  <c r="E98" i="31"/>
  <c r="AQ10" i="35" l="1"/>
  <c r="AP10" i="35"/>
  <c r="AO10" i="35"/>
  <c r="AN10" i="35"/>
  <c r="AM10" i="35"/>
  <c r="AL10" i="35"/>
  <c r="AK10" i="35"/>
  <c r="AJ10" i="35"/>
  <c r="AI10" i="35"/>
  <c r="AH10" i="35"/>
  <c r="AG10" i="35"/>
  <c r="AF10" i="35"/>
  <c r="AE10" i="35"/>
  <c r="AD10" i="35"/>
  <c r="AC10" i="35"/>
  <c r="AB10" i="35"/>
  <c r="AA10" i="35"/>
  <c r="Z10" i="35"/>
  <c r="Y10" i="35"/>
  <c r="X10" i="35"/>
  <c r="W10" i="35"/>
  <c r="V10" i="35"/>
  <c r="U10" i="35"/>
  <c r="T10" i="35"/>
  <c r="S10" i="35"/>
  <c r="R10" i="35"/>
  <c r="Q10" i="35"/>
  <c r="P10" i="35"/>
  <c r="O10" i="35"/>
  <c r="N10" i="35"/>
  <c r="M10" i="35"/>
  <c r="L10" i="35"/>
  <c r="K10" i="35"/>
  <c r="J10" i="35"/>
  <c r="I10" i="35"/>
  <c r="H10" i="35"/>
  <c r="G10" i="35"/>
  <c r="F10" i="35"/>
  <c r="E10" i="35"/>
  <c r="L9" i="31" l="1" a="1"/>
  <c r="L9" i="31" s="1"/>
  <c r="S9" i="31" a="1"/>
  <c r="S9" i="31" s="1"/>
  <c r="R9" i="31" a="1"/>
  <c r="R9" i="31" s="1"/>
  <c r="S7" i="31" a="1"/>
  <c r="S7" i="31" s="1"/>
  <c r="S5" i="31" a="1"/>
  <c r="S5" i="31" s="1"/>
  <c r="D16" i="34" l="1"/>
  <c r="E16" i="34"/>
  <c r="F16" i="34"/>
  <c r="G16" i="34"/>
  <c r="H16" i="34"/>
  <c r="I16" i="34"/>
  <c r="J16" i="34"/>
  <c r="K16" i="34"/>
  <c r="L16" i="34"/>
  <c r="M16" i="34"/>
  <c r="N16" i="34"/>
  <c r="O16" i="34"/>
  <c r="P16" i="34"/>
  <c r="Q16" i="34"/>
  <c r="R16" i="34"/>
  <c r="S16" i="34"/>
  <c r="T16" i="34"/>
  <c r="U16" i="34"/>
  <c r="V16" i="34"/>
  <c r="W16" i="34"/>
  <c r="X16" i="34"/>
  <c r="Y16" i="34"/>
  <c r="Z16" i="34"/>
  <c r="AA16" i="34"/>
  <c r="AB16" i="34"/>
  <c r="C16" i="34"/>
  <c r="V8" i="34" l="1"/>
  <c r="V7" i="34" s="1"/>
  <c r="W8" i="34"/>
  <c r="W7" i="34" s="1"/>
  <c r="X8" i="34"/>
  <c r="X7" i="34" s="1"/>
  <c r="Y8" i="34"/>
  <c r="Y7" i="34" s="1"/>
  <c r="Z8" i="34"/>
  <c r="Z7" i="34" s="1"/>
  <c r="AA8" i="34"/>
  <c r="AA7" i="34" s="1"/>
  <c r="AB8" i="34"/>
  <c r="AB7" i="34" s="1"/>
  <c r="P8" i="34"/>
  <c r="P7" i="34" s="1"/>
  <c r="M7" i="31" s="1" a="1"/>
  <c r="M7" i="31" s="1"/>
  <c r="Q8" i="34"/>
  <c r="Q7" i="34" s="1"/>
  <c r="R8" i="34"/>
  <c r="R7" i="34" s="1"/>
  <c r="S8" i="34"/>
  <c r="S7" i="34" s="1"/>
  <c r="T8" i="34"/>
  <c r="T7" i="34" s="1"/>
  <c r="U8" i="34"/>
  <c r="U7" i="34" s="1"/>
  <c r="M8" i="34"/>
  <c r="M7" i="34" s="1"/>
  <c r="N8" i="34"/>
  <c r="N7" i="34" s="1"/>
  <c r="O8" i="34"/>
  <c r="O7" i="34" s="1"/>
  <c r="J8" i="34"/>
  <c r="J7" i="34" s="1"/>
  <c r="K8" i="34"/>
  <c r="K7" i="34" s="1"/>
  <c r="L8" i="34"/>
  <c r="L7" i="34" s="1"/>
  <c r="I8" i="34"/>
  <c r="I7" i="34" s="1"/>
  <c r="H8" i="34"/>
  <c r="H7" i="34" s="1"/>
  <c r="G8" i="34"/>
  <c r="G7" i="34" s="1"/>
  <c r="F8" i="34"/>
  <c r="F7" i="34" s="1"/>
  <c r="E8" i="34"/>
  <c r="E7" i="34" s="1"/>
  <c r="D8" i="34"/>
  <c r="D7" i="34" s="1"/>
  <c r="C8" i="34"/>
  <c r="C7" i="34" s="1"/>
  <c r="D9" i="34" l="1"/>
  <c r="E9" i="34"/>
  <c r="F9" i="34"/>
  <c r="G9" i="34"/>
  <c r="H9" i="34"/>
  <c r="I9" i="34"/>
  <c r="J9" i="34"/>
  <c r="K9" i="34"/>
  <c r="L9" i="34"/>
  <c r="M9" i="34"/>
  <c r="N9" i="34"/>
  <c r="O9" i="34"/>
  <c r="P9" i="34"/>
  <c r="L7" i="31" s="1" a="1"/>
  <c r="L7" i="31" s="1"/>
  <c r="Q9" i="34"/>
  <c r="R9" i="34"/>
  <c r="S9" i="34"/>
  <c r="T9" i="34"/>
  <c r="U9" i="34"/>
  <c r="V9" i="34"/>
  <c r="W9" i="34"/>
  <c r="X9" i="34"/>
  <c r="Y9" i="34"/>
  <c r="Z9" i="34"/>
  <c r="AA9" i="34"/>
  <c r="AB9" i="34"/>
  <c r="C9" i="34"/>
  <c r="C47" i="34" l="1"/>
  <c r="C13" i="30" l="1"/>
  <c r="AB62" i="34"/>
  <c r="AA62" i="34"/>
  <c r="Z62" i="34"/>
  <c r="Y62" i="34"/>
  <c r="X62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AB61" i="34"/>
  <c r="AA61" i="34"/>
  <c r="Z61" i="34"/>
  <c r="Y61" i="34"/>
  <c r="X61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AB60" i="34"/>
  <c r="AA60" i="34"/>
  <c r="Z60" i="34"/>
  <c r="Y60" i="34"/>
  <c r="X60" i="34"/>
  <c r="W60" i="34"/>
  <c r="V60" i="34"/>
  <c r="U60" i="34"/>
  <c r="T60" i="34"/>
  <c r="S60" i="34"/>
  <c r="R60" i="34"/>
  <c r="Q60" i="34"/>
  <c r="P60" i="34"/>
  <c r="O60" i="34"/>
  <c r="N60" i="34"/>
  <c r="M60" i="34"/>
  <c r="L60" i="34"/>
  <c r="K60" i="34"/>
  <c r="J60" i="34"/>
  <c r="I60" i="34"/>
  <c r="H60" i="34"/>
  <c r="G60" i="34"/>
  <c r="F60" i="34"/>
  <c r="E60" i="34"/>
  <c r="D60" i="34"/>
  <c r="C60" i="34"/>
  <c r="AB59" i="34"/>
  <c r="AA59" i="34"/>
  <c r="Z59" i="34"/>
  <c r="Y59" i="34"/>
  <c r="X59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AB58" i="34"/>
  <c r="AA58" i="34"/>
  <c r="Z58" i="34"/>
  <c r="Y58" i="34"/>
  <c r="X58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AB57" i="34"/>
  <c r="AA57" i="34"/>
  <c r="Z57" i="34"/>
  <c r="Y57" i="34"/>
  <c r="X57" i="34"/>
  <c r="W57" i="34"/>
  <c r="V57" i="34"/>
  <c r="U57" i="34"/>
  <c r="T57" i="34"/>
  <c r="S57" i="34"/>
  <c r="R57" i="34"/>
  <c r="Q57" i="34"/>
  <c r="P57" i="34"/>
  <c r="O57" i="34"/>
  <c r="N57" i="34"/>
  <c r="M57" i="34"/>
  <c r="L57" i="34"/>
  <c r="K57" i="34"/>
  <c r="J57" i="34"/>
  <c r="I57" i="34"/>
  <c r="H57" i="34"/>
  <c r="G57" i="34"/>
  <c r="F57" i="34"/>
  <c r="E57" i="34"/>
  <c r="D57" i="34"/>
  <c r="C57" i="34"/>
  <c r="H49" i="34"/>
  <c r="G49" i="34"/>
  <c r="F49" i="34"/>
  <c r="E49" i="34"/>
  <c r="D49" i="34"/>
  <c r="C49" i="34"/>
  <c r="AB47" i="34"/>
  <c r="AA47" i="34"/>
  <c r="Z47" i="34"/>
  <c r="Y47" i="34"/>
  <c r="X47" i="34"/>
  <c r="W47" i="34"/>
  <c r="V47" i="34"/>
  <c r="U47" i="34"/>
  <c r="T47" i="34"/>
  <c r="S47" i="34"/>
  <c r="R47" i="34"/>
  <c r="Q47" i="34"/>
  <c r="P47" i="34"/>
  <c r="O47" i="34"/>
  <c r="N47" i="34"/>
  <c r="M47" i="34"/>
  <c r="L47" i="34"/>
  <c r="K47" i="34"/>
  <c r="J47" i="34"/>
  <c r="I47" i="34"/>
  <c r="H47" i="34"/>
  <c r="G47" i="34"/>
  <c r="F47" i="34"/>
  <c r="E47" i="34"/>
  <c r="D47" i="34"/>
  <c r="AB44" i="34"/>
  <c r="AA44" i="34"/>
  <c r="Z44" i="34"/>
  <c r="Y44" i="34"/>
  <c r="X44" i="34"/>
  <c r="W44" i="34"/>
  <c r="V44" i="34"/>
  <c r="U44" i="34"/>
  <c r="T44" i="34"/>
  <c r="S44" i="34"/>
  <c r="R44" i="34"/>
  <c r="Q44" i="34"/>
  <c r="P44" i="34"/>
  <c r="O44" i="34"/>
  <c r="N44" i="34"/>
  <c r="M44" i="34"/>
  <c r="L44" i="34"/>
  <c r="K44" i="34"/>
  <c r="J44" i="34"/>
  <c r="I44" i="34"/>
  <c r="H44" i="34"/>
  <c r="G44" i="34"/>
  <c r="F44" i="34"/>
  <c r="E44" i="34"/>
  <c r="D44" i="34"/>
  <c r="C44" i="34"/>
  <c r="AB41" i="34"/>
  <c r="AB40" i="34" s="1"/>
  <c r="AA41" i="34"/>
  <c r="AA40" i="34" s="1"/>
  <c r="Z41" i="34"/>
  <c r="Z40" i="34" s="1"/>
  <c r="Y41" i="34"/>
  <c r="Y40" i="34" s="1"/>
  <c r="X41" i="34"/>
  <c r="X40" i="34" s="1"/>
  <c r="W41" i="34"/>
  <c r="W40" i="34" s="1"/>
  <c r="V41" i="34"/>
  <c r="V40" i="34" s="1"/>
  <c r="U41" i="34"/>
  <c r="U40" i="34" s="1"/>
  <c r="T41" i="34"/>
  <c r="T40" i="34" s="1"/>
  <c r="S41" i="34"/>
  <c r="S40" i="34" s="1"/>
  <c r="R41" i="34"/>
  <c r="R40" i="34" s="1"/>
  <c r="Q41" i="34"/>
  <c r="Q40" i="34" s="1"/>
  <c r="P41" i="34"/>
  <c r="P40" i="34" s="1"/>
  <c r="O41" i="34"/>
  <c r="O40" i="34" s="1"/>
  <c r="N41" i="34"/>
  <c r="N40" i="34" s="1"/>
  <c r="M41" i="34"/>
  <c r="M40" i="34" s="1"/>
  <c r="L41" i="34"/>
  <c r="L40" i="34" s="1"/>
  <c r="K41" i="34"/>
  <c r="K40" i="34" s="1"/>
  <c r="J41" i="34"/>
  <c r="J40" i="34" s="1"/>
  <c r="I41" i="34"/>
  <c r="I40" i="34" s="1"/>
  <c r="H41" i="34"/>
  <c r="H40" i="34" s="1"/>
  <c r="G41" i="34"/>
  <c r="G40" i="34" s="1"/>
  <c r="F41" i="34"/>
  <c r="F40" i="34" s="1"/>
  <c r="E41" i="34"/>
  <c r="E40" i="34" s="1"/>
  <c r="D41" i="34"/>
  <c r="D40" i="34" s="1"/>
  <c r="C41" i="34"/>
  <c r="C40" i="34" s="1"/>
  <c r="AB39" i="34"/>
  <c r="AB38" i="34" s="1"/>
  <c r="AA39" i="34"/>
  <c r="AA38" i="34" s="1"/>
  <c r="Z39" i="34"/>
  <c r="Z38" i="34" s="1"/>
  <c r="Y39" i="34"/>
  <c r="Y38" i="34" s="1"/>
  <c r="X39" i="34"/>
  <c r="X38" i="34" s="1"/>
  <c r="W39" i="34"/>
  <c r="W38" i="34" s="1"/>
  <c r="V39" i="34"/>
  <c r="V38" i="34" s="1"/>
  <c r="U39" i="34"/>
  <c r="U38" i="34" s="1"/>
  <c r="T39" i="34"/>
  <c r="T38" i="34" s="1"/>
  <c r="S39" i="34"/>
  <c r="S38" i="34" s="1"/>
  <c r="R39" i="34"/>
  <c r="R38" i="34" s="1"/>
  <c r="Q39" i="34"/>
  <c r="Q38" i="34" s="1"/>
  <c r="P39" i="34"/>
  <c r="P38" i="34" s="1"/>
  <c r="O39" i="34"/>
  <c r="O38" i="34" s="1"/>
  <c r="N39" i="34"/>
  <c r="N38" i="34" s="1"/>
  <c r="M39" i="34"/>
  <c r="M38" i="34" s="1"/>
  <c r="L39" i="34"/>
  <c r="L38" i="34" s="1"/>
  <c r="K39" i="34"/>
  <c r="K38" i="34" s="1"/>
  <c r="J39" i="34"/>
  <c r="J38" i="34" s="1"/>
  <c r="I39" i="34"/>
  <c r="I38" i="34" s="1"/>
  <c r="H39" i="34"/>
  <c r="H38" i="34" s="1"/>
  <c r="G39" i="34"/>
  <c r="G38" i="34" s="1"/>
  <c r="F39" i="34"/>
  <c r="F38" i="34" s="1"/>
  <c r="E39" i="34"/>
  <c r="E38" i="34" s="1"/>
  <c r="D39" i="34"/>
  <c r="D38" i="34" s="1"/>
  <c r="C39" i="34"/>
  <c r="C38" i="34" s="1"/>
  <c r="J70" i="34"/>
  <c r="J69" i="34" s="1"/>
  <c r="K78" i="34"/>
  <c r="J78" i="34"/>
  <c r="I78" i="34"/>
  <c r="H78" i="34"/>
  <c r="G78" i="34"/>
  <c r="F78" i="34"/>
  <c r="E78" i="34"/>
  <c r="D78" i="34"/>
  <c r="C78" i="34"/>
  <c r="K75" i="34"/>
  <c r="J75" i="34"/>
  <c r="I75" i="34"/>
  <c r="H75" i="34"/>
  <c r="G75" i="34"/>
  <c r="F75" i="34"/>
  <c r="E75" i="34"/>
  <c r="D75" i="34"/>
  <c r="C75" i="34"/>
  <c r="K72" i="34"/>
  <c r="K71" i="34" s="1"/>
  <c r="J72" i="34"/>
  <c r="J71" i="34" s="1"/>
  <c r="I72" i="34"/>
  <c r="I71" i="34" s="1"/>
  <c r="H72" i="34"/>
  <c r="H71" i="34" s="1"/>
  <c r="G72" i="34"/>
  <c r="G71" i="34" s="1"/>
  <c r="F72" i="34"/>
  <c r="F71" i="34" s="1"/>
  <c r="E72" i="34"/>
  <c r="E71" i="34" s="1"/>
  <c r="D72" i="34"/>
  <c r="D71" i="34" s="1"/>
  <c r="C72" i="34"/>
  <c r="C71" i="34" s="1"/>
  <c r="K70" i="34"/>
  <c r="K69" i="34" s="1"/>
  <c r="I70" i="34"/>
  <c r="I69" i="34" s="1"/>
  <c r="H70" i="34"/>
  <c r="H69" i="34" s="1"/>
  <c r="G70" i="34"/>
  <c r="G69" i="34" s="1"/>
  <c r="F70" i="34"/>
  <c r="F69" i="34" s="1"/>
  <c r="E70" i="34"/>
  <c r="E69" i="34" s="1"/>
  <c r="D70" i="34"/>
  <c r="D69" i="34" s="1"/>
  <c r="C70" i="34"/>
  <c r="C69" i="34" s="1"/>
  <c r="J11" i="30" l="1"/>
  <c r="J12" i="30"/>
  <c r="K11" i="30" l="1"/>
  <c r="J14" i="30"/>
  <c r="K13" i="30"/>
  <c r="J13" i="30"/>
  <c r="K12" i="30"/>
  <c r="J9" i="30"/>
  <c r="E48" i="30" l="1"/>
  <c r="P21" i="31" l="1"/>
  <c r="P22" i="31"/>
  <c r="P23" i="31"/>
  <c r="P108" i="31"/>
  <c r="P113" i="31" s="1"/>
  <c r="H26" i="30" s="1"/>
  <c r="P109" i="31"/>
  <c r="P110" i="31"/>
  <c r="P111" i="31"/>
  <c r="C14" i="30"/>
  <c r="B24" i="30" s="1"/>
  <c r="E49" i="30"/>
  <c r="G21" i="31"/>
  <c r="I21" i="31"/>
  <c r="G108" i="31"/>
  <c r="I108" i="31"/>
  <c r="I114" i="31" s="1"/>
  <c r="N109" i="31"/>
  <c r="N110" i="31"/>
  <c r="N111" i="31"/>
  <c r="O110" i="31"/>
  <c r="C10" i="30"/>
  <c r="C9" i="30"/>
  <c r="C12" i="30"/>
  <c r="C11" i="30"/>
  <c r="E114" i="31"/>
  <c r="I109" i="31"/>
  <c r="G109" i="31"/>
  <c r="I110" i="31"/>
  <c r="G110" i="31"/>
  <c r="G22" i="31"/>
  <c r="I111" i="31"/>
  <c r="G111" i="31"/>
  <c r="O111" i="31"/>
  <c r="I22" i="31"/>
  <c r="F114" i="31"/>
  <c r="H114" i="31"/>
  <c r="J114" i="31"/>
  <c r="K114" i="31"/>
  <c r="L114" i="31"/>
  <c r="I23" i="31"/>
  <c r="G23" i="31"/>
  <c r="E99" i="31"/>
  <c r="L113" i="31"/>
  <c r="K113" i="31"/>
  <c r="J113" i="31"/>
  <c r="H113" i="31"/>
  <c r="F113" i="31"/>
  <c r="E113" i="31"/>
  <c r="O109" i="31"/>
  <c r="O23" i="31" l="1"/>
  <c r="N23" i="31"/>
  <c r="O22" i="31"/>
  <c r="N22" i="31"/>
  <c r="I99" i="31"/>
  <c r="P98" i="31"/>
  <c r="G26" i="30" s="1"/>
  <c r="J25" i="30" s="1"/>
  <c r="F49" i="30" s="1"/>
  <c r="G49" i="30" s="1"/>
  <c r="H49" i="30" s="1"/>
  <c r="C24" i="30"/>
  <c r="B37" i="30" s="1"/>
  <c r="F37" i="30" s="1"/>
  <c r="P99" i="31"/>
  <c r="O108" i="31"/>
  <c r="O114" i="31" s="1"/>
  <c r="N21" i="31"/>
  <c r="I113" i="31"/>
  <c r="G113" i="31"/>
  <c r="N108" i="31"/>
  <c r="N114" i="31" s="1"/>
  <c r="G114" i="31"/>
  <c r="O21" i="31"/>
  <c r="G99" i="31"/>
  <c r="I98" i="31"/>
  <c r="P114" i="31"/>
  <c r="G118" i="31"/>
  <c r="G98" i="31"/>
  <c r="B27" i="30"/>
  <c r="C27" i="30" s="1"/>
  <c r="K10" i="30"/>
  <c r="P118" i="31"/>
  <c r="M49" i="30"/>
  <c r="O99" i="31" l="1"/>
  <c r="N98" i="31"/>
  <c r="G24" i="30" s="1"/>
  <c r="K25" i="30"/>
  <c r="N49" i="30" s="1"/>
  <c r="O49" i="30" s="1"/>
  <c r="P49" i="30" s="1"/>
  <c r="B43" i="30"/>
  <c r="F43" i="30" s="1"/>
  <c r="B41" i="30"/>
  <c r="F41" i="30" s="1"/>
  <c r="B42" i="30"/>
  <c r="F42" i="30" s="1"/>
  <c r="B40" i="30"/>
  <c r="F40" i="30" s="1"/>
  <c r="B39" i="30"/>
  <c r="F39" i="30" s="1"/>
  <c r="B38" i="30"/>
  <c r="F38" i="30" s="1"/>
  <c r="J42" i="30"/>
  <c r="O113" i="31"/>
  <c r="H25" i="30" s="1"/>
  <c r="N99" i="31"/>
  <c r="N113" i="31"/>
  <c r="H24" i="30" s="1"/>
  <c r="O98" i="31"/>
  <c r="K9" i="30"/>
  <c r="M48" i="30"/>
  <c r="O119" i="31"/>
  <c r="C34" i="30" l="1"/>
  <c r="F48" i="30" s="1"/>
  <c r="G48" i="30" s="1"/>
  <c r="H48" i="30" s="1"/>
  <c r="Q119" i="31"/>
  <c r="J37" i="30"/>
  <c r="J41" i="30"/>
  <c r="J39" i="30"/>
  <c r="J38" i="30"/>
  <c r="J40" i="30"/>
  <c r="G25" i="30"/>
  <c r="F50" i="30" s="1"/>
  <c r="M50" i="30"/>
  <c r="E50" i="30"/>
  <c r="E38" i="30" l="1"/>
  <c r="Q122" i="31" s="1"/>
  <c r="E43" i="30"/>
  <c r="E41" i="30"/>
  <c r="E42" i="30"/>
  <c r="E37" i="30"/>
  <c r="E39" i="30"/>
  <c r="E40" i="30"/>
  <c r="F34" i="30"/>
  <c r="G50" i="30"/>
  <c r="H50" i="30" s="1"/>
  <c r="N50" i="30"/>
  <c r="O50" i="30" s="1"/>
  <c r="P50" i="30" s="1"/>
  <c r="K34" i="30"/>
  <c r="M41" i="30" s="1"/>
  <c r="M38" i="30" l="1"/>
  <c r="M37" i="30"/>
  <c r="N48" i="30"/>
  <c r="O48" i="30" s="1"/>
  <c r="P48" i="30" s="1"/>
  <c r="M40" i="30"/>
  <c r="N34" i="30"/>
  <c r="M39" i="30"/>
  <c r="M42" i="30"/>
  <c r="Q118" i="31" l="1"/>
  <c r="N118" i="31"/>
  <c r="O118" i="31" s="1"/>
  <c r="J10" i="3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<sst xmlns="http://schemas.openxmlformats.org/spreadsheetml/2006/main" count="2091" uniqueCount="339">
  <si>
    <t xml:space="preserve"> </t>
  </si>
  <si>
    <t>run</t>
  </si>
  <si>
    <t>%</t>
  </si>
  <si>
    <t>g</t>
  </si>
  <si>
    <t>kWh</t>
  </si>
  <si>
    <t>min</t>
  </si>
  <si>
    <t xml:space="preserve">&lt; + 3% </t>
  </si>
  <si>
    <t>energy</t>
  </si>
  <si>
    <t>Full</t>
  </si>
  <si>
    <t>Half</t>
  </si>
  <si>
    <t>SAEc</t>
  </si>
  <si>
    <t>c</t>
  </si>
  <si>
    <t>EEi =</t>
  </si>
  <si>
    <t>INDEX</t>
  </si>
  <si>
    <t>&lt;85</t>
  </si>
  <si>
    <t>Identification of machine</t>
  </si>
  <si>
    <t>Label declaration</t>
  </si>
  <si>
    <t>PRODUCT</t>
  </si>
  <si>
    <t>BRAND</t>
  </si>
  <si>
    <t>ENERGY CLASS</t>
  </si>
  <si>
    <t>MODEL</t>
  </si>
  <si>
    <t>CONDENSATION EFFICIENCY</t>
  </si>
  <si>
    <t>CODE</t>
  </si>
  <si>
    <t>CONDENSATION CLASS</t>
  </si>
  <si>
    <t>TYPE</t>
  </si>
  <si>
    <t>HEAT PUMP</t>
  </si>
  <si>
    <t>FULL LOAD CYCLE TIME [min]</t>
  </si>
  <si>
    <t>LOAD [kg]</t>
  </si>
  <si>
    <t>Main features</t>
  </si>
  <si>
    <t>Load</t>
  </si>
  <si>
    <r>
      <t>Energy</t>
    </r>
    <r>
      <rPr>
        <sz val="10"/>
        <rFont val="Arial"/>
        <family val="2"/>
      </rPr>
      <t xml:space="preserve"> [kWh]</t>
    </r>
  </si>
  <si>
    <r>
      <t>Time</t>
    </r>
    <r>
      <rPr>
        <sz val="11"/>
        <color theme="1"/>
        <rFont val="Calibri"/>
        <family val="2"/>
        <scheme val="minor"/>
      </rPr>
      <t xml:space="preserve"> [min]</t>
    </r>
  </si>
  <si>
    <t>Condensing efficiency [%]</t>
  </si>
  <si>
    <t>Energy Efficiency Index</t>
  </si>
  <si>
    <t>Energy class</t>
  </si>
  <si>
    <t>Tolerances</t>
  </si>
  <si>
    <t>Summary of results</t>
  </si>
  <si>
    <t>Declared</t>
  </si>
  <si>
    <t>Measured</t>
  </si>
  <si>
    <t>Tolerance</t>
  </si>
  <si>
    <t>Condensation efficiency</t>
  </si>
  <si>
    <t>Full load cycle time [min]</t>
  </si>
  <si>
    <t>max +6%</t>
  </si>
  <si>
    <t xml:space="preserve">ENERGY LABEL </t>
  </si>
  <si>
    <t>Full load</t>
  </si>
  <si>
    <t>TIME</t>
  </si>
  <si>
    <t>START</t>
  </si>
  <si>
    <t>DRYING CYCLE</t>
  </si>
  <si>
    <t>load</t>
  </si>
  <si>
    <t>measured</t>
  </si>
  <si>
    <t>normalized</t>
  </si>
  <si>
    <t>date</t>
  </si>
  <si>
    <t>initial</t>
  </si>
  <si>
    <t>spinned</t>
  </si>
  <si>
    <t>efficiency</t>
  </si>
  <si>
    <t>dried</t>
  </si>
  <si>
    <t>time</t>
  </si>
  <si>
    <t>water</t>
  </si>
  <si>
    <t>targ</t>
  </si>
  <si>
    <t>AVERAGE</t>
  </si>
  <si>
    <t>STD</t>
  </si>
  <si>
    <t>Half load</t>
  </si>
  <si>
    <t>A</t>
  </si>
  <si>
    <t>Average residual moisture</t>
  </si>
  <si>
    <t>Single test limit</t>
  </si>
  <si>
    <t>OK if</t>
  </si>
  <si>
    <t>Check</t>
  </si>
  <si>
    <t>TESTS COMPLETION DATE [dd/mm/yyyy]</t>
  </si>
  <si>
    <t>C. eff.</t>
  </si>
  <si>
    <t>TESTED BY</t>
  </si>
  <si>
    <t>C</t>
  </si>
  <si>
    <t>Configuration</t>
  </si>
  <si>
    <t>Etc =</t>
  </si>
  <si>
    <t xml:space="preserve">Energy consumption </t>
  </si>
  <si>
    <t>D</t>
  </si>
  <si>
    <t>E</t>
  </si>
  <si>
    <t>F</t>
  </si>
  <si>
    <t>B</t>
  </si>
  <si>
    <t>&lt;43</t>
  </si>
  <si>
    <t>&lt;50</t>
  </si>
  <si>
    <t>&lt;60</t>
  </si>
  <si>
    <t>&lt;70</t>
  </si>
  <si>
    <t>&lt;100</t>
  </si>
  <si>
    <t>&gt;100</t>
  </si>
  <si>
    <t>G</t>
  </si>
  <si>
    <t>μ_f</t>
  </si>
  <si>
    <t>No</t>
  </si>
  <si>
    <t>Etc</t>
  </si>
  <si>
    <t>AEc =</t>
  </si>
  <si>
    <t>AEc</t>
  </si>
  <si>
    <t>&lt;24</t>
  </si>
  <si>
    <t>&lt;32</t>
  </si>
  <si>
    <t>&lt;42</t>
  </si>
  <si>
    <t>&lt;65</t>
  </si>
  <si>
    <t>&lt;76</t>
  </si>
  <si>
    <t>Off mode</t>
  </si>
  <si>
    <t>Left mode</t>
  </si>
  <si>
    <t>Standard Energy consumption</t>
  </si>
  <si>
    <t>Weighted cond. Effi.[%] (New-Old)</t>
  </si>
  <si>
    <t>Energy consumption</t>
  </si>
  <si>
    <t>Capacity</t>
  </si>
  <si>
    <t>Class</t>
  </si>
  <si>
    <t>A+</t>
  </si>
  <si>
    <t>A++</t>
  </si>
  <si>
    <t>A+++</t>
  </si>
  <si>
    <t>Drying time Program Cotton             (min) full load</t>
  </si>
  <si>
    <t>Drying time Program Cotton                  (min) half load</t>
  </si>
  <si>
    <t>weighted condensation efficiency %</t>
  </si>
  <si>
    <t>Condensation efficiency full load %</t>
  </si>
  <si>
    <t>Condensation efficiency  half load%</t>
  </si>
  <si>
    <t>Noise level (dB)</t>
  </si>
  <si>
    <t>Power consumption of off-mode (std. Prog full load) W</t>
  </si>
  <si>
    <t>Power consumption of left on-mode (std. Prog full load) W</t>
  </si>
  <si>
    <t>Duration of the left-on mode (min)</t>
  </si>
  <si>
    <t>Energy Cons. Program Whites            (-6%)  kW/h cycle full load</t>
  </si>
  <si>
    <t>Drying time Program Whites              (min) full load</t>
  </si>
  <si>
    <t>Energy Cons. Program Whites            (-3%)  kW/h cycle full load</t>
  </si>
  <si>
    <t>Energy Cons. Program Whites            (+12%)  kW/h cycle full load</t>
  </si>
  <si>
    <t>Drying time Program Iron Whites              (min) full load</t>
  </si>
  <si>
    <t>kWh/ann.</t>
  </si>
  <si>
    <t>New</t>
  </si>
  <si>
    <t>Old</t>
  </si>
  <si>
    <t>ENERGY</t>
  </si>
  <si>
    <t>check TD info</t>
  </si>
  <si>
    <t>Goal:</t>
  </si>
  <si>
    <t>Motor</t>
  </si>
  <si>
    <t>Evap.</t>
  </si>
  <si>
    <t>Cond.</t>
  </si>
  <si>
    <t>Capillary</t>
  </si>
  <si>
    <t>EEPROM</t>
  </si>
  <si>
    <t>Capacitor</t>
  </si>
  <si>
    <t>Compress.</t>
  </si>
  <si>
    <t>Basement</t>
  </si>
  <si>
    <t>Other</t>
  </si>
  <si>
    <t>Rear Cover</t>
  </si>
  <si>
    <t>LOAD (kg)</t>
  </si>
  <si>
    <t>Insert machine NO# in Lab</t>
  </si>
  <si>
    <t>Main SW</t>
  </si>
  <si>
    <t>Form No….................:
Rev No/Rev Date…...:
Release Date….........:</t>
  </si>
  <si>
    <t>Tumble Dryer Performance Test</t>
  </si>
  <si>
    <t>NEL Energy</t>
  </si>
  <si>
    <t>Condensation efficiency class (OEL)</t>
  </si>
  <si>
    <t>Condensation efficiency class (NEL)</t>
  </si>
  <si>
    <t>Noise NEL class</t>
  </si>
  <si>
    <t>HP SLIM / BUILT-IN Russia</t>
  </si>
  <si>
    <t>check manual for old label</t>
  </si>
  <si>
    <t>Energy Cons. kW/h annual (OEL)</t>
  </si>
  <si>
    <t>Energy Cons. kW/h 100 cycles (NEL)</t>
  </si>
  <si>
    <t>Energy Cons. Program Cotton                   (0%)  kW/h cycle full load</t>
  </si>
  <si>
    <t>Energy Cons. Program Cotton                   (0%) kW/h cycle half load</t>
  </si>
  <si>
    <t>Drying time Program Cotton             (min) full load (NEL)</t>
  </si>
  <si>
    <t>Target</t>
  </si>
  <si>
    <t>CONDENSATION</t>
  </si>
  <si>
    <t xml:space="preserve">COND. CLASS </t>
  </si>
  <si>
    <t xml:space="preserve"> kWh/100</t>
  </si>
  <si>
    <t>H2O temp</t>
  </si>
  <si>
    <t>C°</t>
  </si>
  <si>
    <t>ENERGY CONSUMPTION [ kWh/100 | kWh/year]</t>
  </si>
  <si>
    <t>Test Bench</t>
  </si>
  <si>
    <t xml:space="preserve">CLASS </t>
  </si>
  <si>
    <t>OEL</t>
  </si>
  <si>
    <t>NEL</t>
  </si>
  <si>
    <t>insert NEL target</t>
  </si>
  <si>
    <t>Summary of results (OEL)</t>
  </si>
  <si>
    <t>Standard Annual Energy cons. (OEL)</t>
  </si>
  <si>
    <t>Rpm</t>
  </si>
  <si>
    <t>End condition</t>
  </si>
  <si>
    <t>Tangling</t>
  </si>
  <si>
    <t>Note</t>
  </si>
  <si>
    <t>Energy Cons. Program Cotton                  (0%)  kW/h cycle full load</t>
  </si>
  <si>
    <t>Energy Cons. Program Cotton                  (0%) kW/h cycle half load</t>
  </si>
  <si>
    <t>weighted programme time (min) (OEL)</t>
  </si>
  <si>
    <t>weighted programme time (min) (NEL)</t>
  </si>
  <si>
    <t>Condenser</t>
  </si>
  <si>
    <t>Vented EU</t>
  </si>
  <si>
    <t>Vented UK</t>
  </si>
  <si>
    <t>na</t>
  </si>
  <si>
    <t>Candy Best &amp; HMD</t>
  </si>
  <si>
    <t>8 (low cost)</t>
  </si>
  <si>
    <t>CHG</t>
  </si>
  <si>
    <t>Evaporator</t>
  </si>
  <si>
    <t>Compressor</t>
  </si>
  <si>
    <t>Rear cover</t>
  </si>
  <si>
    <t>91404898**</t>
  </si>
  <si>
    <t>91404898*</t>
  </si>
  <si>
    <t>* oval motor hole</t>
  </si>
  <si>
    <t>** circle motor hole</t>
  </si>
  <si>
    <t>70033701
70005429
70053055</t>
  </si>
  <si>
    <t>70033700
70005428
70053020</t>
  </si>
  <si>
    <r>
      <t>40015364
70080789</t>
    </r>
    <r>
      <rPr>
        <b/>
        <sz val="11"/>
        <color rgb="FFFF0000"/>
        <rFont val="Calibri"/>
        <family val="2"/>
      </rPr>
      <t>!</t>
    </r>
  </si>
  <si>
    <t>70019615***</t>
  </si>
  <si>
    <t>*** without insulation</t>
  </si>
  <si>
    <t>Material Code</t>
  </si>
  <si>
    <t>Approved Supplier</t>
  </si>
  <si>
    <t>Specifecation</t>
  </si>
  <si>
    <t>Teknika</t>
  </si>
  <si>
    <t>All class E and 7/8/9 kg class D basement</t>
  </si>
  <si>
    <t>In house</t>
  </si>
  <si>
    <t>10/11 class D and above basement</t>
  </si>
  <si>
    <t>Korel, Konveyör</t>
  </si>
  <si>
    <t>Korel, Konveyör, NBR</t>
  </si>
  <si>
    <t>Changfa</t>
  </si>
  <si>
    <t>Konveyör</t>
  </si>
  <si>
    <t>Al - F=3 mm</t>
  </si>
  <si>
    <t>Al - F=2,7 mm</t>
  </si>
  <si>
    <t>Al - F=2,2 mm</t>
  </si>
  <si>
    <t>Al - F=2 mm</t>
  </si>
  <si>
    <t>Al - F=5 mm</t>
  </si>
  <si>
    <t>Korel</t>
  </si>
  <si>
    <t>Cu - F=1,8 mm</t>
  </si>
  <si>
    <t>Rechi</t>
  </si>
  <si>
    <t>Highly</t>
  </si>
  <si>
    <t>35Q073M - All class E and class D</t>
  </si>
  <si>
    <t>PSA580DV - All class E and class D</t>
  </si>
  <si>
    <t>39Q083H - 7/8/9 kg class C</t>
  </si>
  <si>
    <t>39Q0T3H - 10/11 kg class C &amp; 7/8/9 class B</t>
  </si>
  <si>
    <t>Capillary Assy</t>
  </si>
  <si>
    <t>NBR</t>
  </si>
  <si>
    <t>1,4 - 1000</t>
  </si>
  <si>
    <t>1,3 - 1300</t>
  </si>
  <si>
    <t>1,4 - 1900</t>
  </si>
  <si>
    <t>Nidec</t>
  </si>
  <si>
    <t>Nanyang</t>
  </si>
  <si>
    <t>BPM</t>
  </si>
  <si>
    <t>AC</t>
  </si>
  <si>
    <t>BPM suitable</t>
  </si>
  <si>
    <t>AC  suitable</t>
  </si>
  <si>
    <r>
      <rPr>
        <b/>
        <sz val="11"/>
        <color rgb="FFFF0000"/>
        <rFont val="Calibri"/>
        <family val="2"/>
        <scheme val="minor"/>
      </rPr>
      <t>!</t>
    </r>
    <r>
      <rPr>
        <sz val="11"/>
        <color theme="1"/>
        <rFont val="Calibri"/>
        <family val="2"/>
        <scheme val="minor"/>
      </rPr>
      <t xml:space="preserve"> Highly (not homologated)</t>
    </r>
  </si>
  <si>
    <t>1,4 - 500</t>
  </si>
  <si>
    <t>40014301 (40014304)</t>
  </si>
  <si>
    <t>70042251 (70041311)</t>
  </si>
  <si>
    <t>70031142 (70061287)</t>
  </si>
  <si>
    <t>70014572 (70014574)</t>
  </si>
  <si>
    <t>70057614 (70057615)</t>
  </si>
  <si>
    <t>Cu - F=2,5 mm</t>
  </si>
  <si>
    <t>Candy Best &amp; HMD &amp; CHG (NEL D and Above)</t>
  </si>
  <si>
    <t>CHG (NEL E)</t>
  </si>
  <si>
    <t>Compressor Fan</t>
  </si>
  <si>
    <t>Yes</t>
  </si>
  <si>
    <t xml:space="preserve">35Q53I class E 8kg low cost </t>
  </si>
  <si>
    <t>Candy Best &amp; HMD &amp; CHG</t>
  </si>
  <si>
    <r>
      <t>40015364
70080799</t>
    </r>
    <r>
      <rPr>
        <b/>
        <sz val="11"/>
        <color rgb="FFFF0000"/>
        <rFont val="Calibri"/>
        <family val="2"/>
      </rPr>
      <t>!</t>
    </r>
  </si>
  <si>
    <t>GP</t>
  </si>
  <si>
    <t>OEL Energy</t>
  </si>
  <si>
    <t>Energy Cons. kWh/Annual (OEL)</t>
  </si>
  <si>
    <t>A+++ (A++)</t>
  </si>
  <si>
    <t>Energy Cons. Program Cotton           (0%)  kW/h cycle full load</t>
  </si>
  <si>
    <t>NOISE dB | Class</t>
  </si>
  <si>
    <t>Product</t>
  </si>
  <si>
    <t>Heat Pump</t>
  </si>
  <si>
    <t>Heat Pump EOLO- OLD- STEP1</t>
  </si>
  <si>
    <t>Heat Pump EOLO- STEP 2</t>
  </si>
  <si>
    <t>HaierMatching HeatPump</t>
  </si>
  <si>
    <t>Candy Best</t>
  </si>
  <si>
    <t>11*</t>
  </si>
  <si>
    <t>A+ Entry Level</t>
  </si>
  <si>
    <t>NA</t>
  </si>
  <si>
    <t>Program 1 (-6% sun) --&gt; whites + simbolo perfect home</t>
  </si>
  <si>
    <t>Program 2 (-3%) --&gt; whites + simbolo armadio</t>
  </si>
  <si>
    <t>Program 3 (0%) --&gt; cotton + simbolino norma gruccia</t>
  </si>
  <si>
    <t>Program iron dry (+12%) --&gt; whites + simbolo ferro da stiro</t>
  </si>
  <si>
    <t>TD2647</t>
  </si>
  <si>
    <t>CB &amp; HMD</t>
  </si>
  <si>
    <t>Haier</t>
  </si>
  <si>
    <t>HP</t>
  </si>
  <si>
    <t>Efe</t>
  </si>
  <si>
    <t>5A</t>
  </si>
  <si>
    <t>Scrap</t>
  </si>
  <si>
    <t>X</t>
  </si>
  <si>
    <t>5-A</t>
  </si>
  <si>
    <t>havlu(1400 devir sıkma)</t>
  </si>
  <si>
    <t>havlu(1100 devir sıkma)</t>
  </si>
  <si>
    <t>havlu(1200 devir sıkma)</t>
  </si>
  <si>
    <t>havlu(1400 devir sıkma) - sıkma devri azaltılabilir</t>
  </si>
  <si>
    <t>2 Havlu + çarşaf + yastık kılıfı(1200 devir sıktırma)</t>
  </si>
  <si>
    <t>5 havlu + 2 çarşaf + 2 yastık kılıfı (1200 devir sıktırma)</t>
  </si>
  <si>
    <t>4 klılıf + 4 çarşaf+ 12 havlu (1200 devir sıktırma)</t>
  </si>
  <si>
    <t>5 klılıf + 5 çarşaf+ 15 havlu (1200 devir sıktırma)</t>
  </si>
  <si>
    <t>5 çarşaf+7kılıf+29 havlu (1200 devir sıktırma)</t>
  </si>
  <si>
    <t>1 çarşaf + 1 kılıf + 4 havlu (1200 devir sıktırma)</t>
  </si>
  <si>
    <t>1 çarşaf + 1 kılıf (1200 devir sıktırma)</t>
  </si>
  <si>
    <t>1 çarşaf + 2 kılıf + 7 havlu (1200 devir sıktırma)</t>
  </si>
  <si>
    <t>2 çarşaf + 2 kılıf + 8 havlu (1200 devir sıktırma)</t>
  </si>
  <si>
    <t>2 çarşaf + 4 kılıf + 10 havlu (1200 devir sıktırma)</t>
  </si>
  <si>
    <t>3 çarşaf + 4 kılıf + 9 havlu (1200 devir sıktırma)</t>
  </si>
  <si>
    <t>3 çarşaf + 5 kılıf + 13 havlu (1200 devir sıktırma)</t>
  </si>
  <si>
    <t>4 çarşaf + 5 kılıf + 12 havlu (1200 devir sıktırma) su ekledik tekrar döndürdük</t>
  </si>
  <si>
    <t>4 çarşaf + 5 kılıf + 18 havlu (1100 devir sıktırma) su ekledik tekrar döndürdük</t>
  </si>
  <si>
    <t>4 çarşaf+7 kılıf+23havlu (1000 devir) DEVİR KESİNLİKLE AZALTILMALI</t>
  </si>
  <si>
    <t>4 çarşaf+8 kılıf+24havlu (900 devir) YİNE FAZLA GELDİ ?</t>
  </si>
  <si>
    <t>4 kılıf+3 çarşaf+8 havlu (1200 devir sıktırma)</t>
  </si>
  <si>
    <t>8 kılıf+5 çarşaf+26 havlu (1200 devir sıktırma)</t>
  </si>
  <si>
    <t>9 kılıf+5 çarşaf+28 havlu (1000 devir sıktırma)</t>
  </si>
  <si>
    <t>17 KILIF+4 ÇARŞAF+21 HAVLU (800 DEVİR SIKMA)</t>
  </si>
  <si>
    <t>2 kılıf + 3 havlu + 1 çarşaf (1000 devir)  30 derecelerde 22 değil</t>
  </si>
  <si>
    <t>1 kılıf + 7 havlu (1000 devir)  30 derecelerde 22 değil</t>
  </si>
  <si>
    <t>X kılıf + X havlu + X çarşaf (1000 devir)  27 DERECE BAŞLANGIÇ T3</t>
  </si>
  <si>
    <t>3 HAVLU (1300 DEVİR)</t>
  </si>
  <si>
    <t>3 HAVLU (1400 DEVİR)</t>
  </si>
  <si>
    <t>1 ÇARŞAF+2KIIF+7HAVLU (1300 DEVİR SIKMA) 24-27 DERECE</t>
  </si>
  <si>
    <t>2 ÇARŞAF+2KIIF+3HAVLU (1200 DEVİR SIKMA AZALTILMALI) 25-27 DERECE</t>
  </si>
  <si>
    <r>
      <t>2 ÇARŞAF+2KIIF+6HAVLU (1000 DEVİR)</t>
    </r>
    <r>
      <rPr>
        <b/>
        <sz val="12"/>
        <rFont val="Arial"/>
        <family val="2"/>
      </rPr>
      <t xml:space="preserve"> ANOMALİ VAR</t>
    </r>
  </si>
  <si>
    <t>3 HAVLU + 4 KILIF + 2 ÇARŞAF (1200 DEVİR)</t>
  </si>
  <si>
    <t>6 HAVLU + 4 KILIF + 2 ÇARŞAF (1100 DEVİR) 23-25 DERECE</t>
  </si>
  <si>
    <t>7 HAVLU + 5 KILIF + 2 ÇARŞAF (1000 DEVİR)  23-24 DERECE</t>
  </si>
  <si>
    <t>9 HAVLU + 5 KILIF + 2 ÇARŞAF (1000 DEVİR)  23-24 DERECE</t>
  </si>
  <si>
    <t>12 HAVLU + 5 KILIF + 2 ÇARŞAF (1200 DEVİR)  23-24 DERECE</t>
  </si>
  <si>
    <t>14 HAVLU + 5 KILIF + 2 ÇARŞAF (1200 DEVİR)  23-24 DERECE</t>
  </si>
  <si>
    <t>16 HAVLU + 6 KILIF + 2 ÇARŞAF (1200 DEVİR)  23-24 DERECE</t>
  </si>
  <si>
    <t xml:space="preserve">14 HAVLU + 8 KILIF + 2 ÇARŞAF (1200 DEVİR)  </t>
  </si>
  <si>
    <t>18 HAVLU + 8 KILIF + 2 ÇARŞAF (1000 DEVİR)  23-27 DERECE, TOZ FİLTRESİ İÇERİDE YAMUK DURUYORDU, AMA DEĞERLER STABİL GİBİ GÖRÜNÜYOR</t>
  </si>
  <si>
    <t>19 HAVLU + 9 KILIF + 2 ÇARŞAF (1000 DEVİR ama fazla geldi sonra ıslattım sıktım fazla oldu sonra tekrar sıktırdım )</t>
  </si>
  <si>
    <t>22 HAVLU + 9 KILIF + 2 ÇARŞAF (900 DEVİR) T3 = 24.5</t>
  </si>
  <si>
    <t>23 HAVLU + 10 KILIF + 2 ÇARŞAF (900 DEVİR)</t>
  </si>
  <si>
    <t>21 HAVLU+9 KILIF+ 3 ÇARŞAF (1000 DEVİR)</t>
  </si>
  <si>
    <t>24 HAVLU+9 KILIF+ 3 ÇARŞAF (900 DEVİR)</t>
  </si>
  <si>
    <t>26 HAVLU+10 KILIF+ 3 ÇARŞAF (800 DEVİR) 900 DEVİR DAHA İYİ 23-25 DERECE</t>
  </si>
  <si>
    <t>26 HAVLU+10 KILIF+ 3 ÇARŞAF (900 DEVİR)</t>
  </si>
  <si>
    <t>(900 DEVİR) T3 = 25</t>
  </si>
  <si>
    <t>(700 DEVİR)</t>
  </si>
  <si>
    <t>(700 DEVİR) MAKİNE SU ATMAK İÇİN 2 DEFA DURDU</t>
  </si>
  <si>
    <t xml:space="preserve">(700 DEVİR) </t>
  </si>
  <si>
    <t>(700 DEVİR) 24-25 DERECE</t>
  </si>
  <si>
    <t>(1000 DEVİR) +3 YASTIK KILIFI T2 =26 , T3= 32</t>
  </si>
  <si>
    <t>(1100 DEVİR)AİLECEK HAFTALIK ÇAMAŞIR YIKAMA / RUN 3 TESTLERİN BAŞLANGICI</t>
  </si>
  <si>
    <t>5 HAVLU (1100 DEVİR SIKMA) / RUN 2 TESTLERİN BAŞLANGICI</t>
  </si>
  <si>
    <t>3 HAVLU</t>
  </si>
  <si>
    <t>1 ÇARŞAF (1200 DEVİR SIKMA)</t>
  </si>
  <si>
    <t>1 ÇARŞAF + 1 Kılıf (1000 DEVİR SIKMA)</t>
  </si>
  <si>
    <t>2 ÇARŞAF + 3 Kılıf + 10 HAVLU (900 DEVİR SIKMA) 24-28 DERECE</t>
  </si>
  <si>
    <t>1000 devir</t>
  </si>
  <si>
    <t>900 devir</t>
  </si>
  <si>
    <t>900 DEVİR</t>
  </si>
  <si>
    <t>DURDURULDU</t>
  </si>
  <si>
    <t>1200 devir</t>
  </si>
  <si>
    <t>64 DK SONRA DURDURULDU</t>
  </si>
  <si>
    <t xml:space="preserve">67 DK SONRA BİTTİ </t>
  </si>
  <si>
    <t>1200 DEVİR</t>
  </si>
  <si>
    <t>1000 DEVİR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</si>
</sst>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"/>
    <numFmt numFmtId="165" formatCode="0.0%"/>
    <numFmt numFmtId="166" formatCode="0.0"/>
    <numFmt numFmtId="167" formatCode="_-* #,##0.00\ _€_-;\-* #,##0.00\ _€_-;_-* &quot;-&quot;??\ _€_-;_-@_-"/>
  </numFmts>
  <fonts count="6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indexed="10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Arial"/>
      <family val="2"/>
    </font>
    <font>
      <i/>
      <sz val="10"/>
      <color theme="1"/>
      <name val="Calibri"/>
      <family val="2"/>
      <scheme val="minor"/>
    </font>
    <font>
      <b/>
      <sz val="10"/>
      <color rgb="FF002060"/>
      <name val="Arial"/>
      <family val="2"/>
    </font>
    <font>
      <b/>
      <sz val="10"/>
      <color rgb="FF0000FF"/>
      <name val="Arial"/>
      <family val="2"/>
    </font>
    <font>
      <b/>
      <sz val="11"/>
      <color rgb="FFFF0000"/>
      <name val="Arial"/>
      <family val="2"/>
    </font>
    <font>
      <sz val="10"/>
      <color rgb="FFFF0000"/>
      <name val="Arial"/>
      <family val="2"/>
    </font>
    <font>
      <b/>
      <sz val="12"/>
      <color rgb="FF002060"/>
      <name val="Arial"/>
      <family val="2"/>
    </font>
    <font>
      <sz val="10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name val="Tahoma"/>
      <family val="2"/>
    </font>
    <font>
      <i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i/>
      <sz val="10"/>
      <name val="Calibri"/>
      <family val="2"/>
      <scheme val="minor"/>
    </font>
    <font>
      <b/>
      <sz val="2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i/>
      <sz val="8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8"/>
      <color rgb="FF000000"/>
      <name val="Calibri"/>
      <family val="2"/>
    </font>
    <font>
      <sz val="8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4"/>
      <color rgb="FFFF0000"/>
      <name val="Arial"/>
      <family val="2"/>
    </font>
    <font>
      <sz val="10"/>
      <color theme="9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5FFC5"/>
        <bgColor indexed="64"/>
      </patternFill>
    </fill>
    <fill>
      <patternFill patternType="solid">
        <fgColor rgb="FFFFFFA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9" tint="-0.249977111117893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499984740745262"/>
        <bgColor indexed="64"/>
      </patternFill>
    </fill>
  </fills>
  <borders count="8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40">
    <xf numFmtId="0" fontId="0" fillId="0" borderId="0"/>
    <xf numFmtId="0" fontId="1" fillId="0" borderId="0"/>
    <xf numFmtId="9" fontId="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0" borderId="0"/>
    <xf numFmtId="0" fontId="6" fillId="0" borderId="0"/>
    <xf numFmtId="0" fontId="6" fillId="6" borderId="33" applyNumberFormat="0" applyFont="0" applyAlignment="0" applyProtection="0"/>
    <xf numFmtId="0" fontId="6" fillId="6" borderId="33" applyNumberFormat="0" applyFont="0" applyAlignment="0" applyProtection="0"/>
    <xf numFmtId="0" fontId="6" fillId="6" borderId="33" applyNumberFormat="0" applyFont="0" applyAlignment="0" applyProtection="0"/>
    <xf numFmtId="0" fontId="6" fillId="6" borderId="33" applyNumberFormat="0" applyFont="0" applyAlignment="0" applyProtection="0"/>
    <xf numFmtId="0" fontId="6" fillId="6" borderId="33" applyNumberFormat="0" applyFont="0" applyAlignment="0" applyProtection="0"/>
    <xf numFmtId="0" fontId="6" fillId="6" borderId="33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36" applyNumberFormat="0" applyFill="0" applyAlignment="0" applyProtection="0"/>
    <xf numFmtId="0" fontId="15" fillId="0" borderId="37" applyNumberFormat="0" applyFill="0" applyAlignment="0" applyProtection="0"/>
    <xf numFmtId="0" fontId="16" fillId="0" borderId="38" applyNumberFormat="0" applyFill="0" applyAlignment="0" applyProtection="0"/>
    <xf numFmtId="0" fontId="16" fillId="0" borderId="0" applyNumberFormat="0" applyFill="0" applyBorder="0" applyAlignment="0" applyProtection="0"/>
    <xf numFmtId="0" fontId="17" fillId="19" borderId="0" applyNumberFormat="0" applyBorder="0" applyAlignment="0" applyProtection="0"/>
    <xf numFmtId="0" fontId="18" fillId="20" borderId="0" applyNumberFormat="0" applyBorder="0" applyAlignment="0" applyProtection="0"/>
    <xf numFmtId="0" fontId="19" fillId="21" borderId="0" applyNumberFormat="0" applyBorder="0" applyAlignment="0" applyProtection="0"/>
    <xf numFmtId="0" fontId="20" fillId="22" borderId="39" applyNumberFormat="0" applyAlignment="0" applyProtection="0"/>
    <xf numFmtId="0" fontId="21" fillId="23" borderId="40" applyNumberFormat="0" applyAlignment="0" applyProtection="0"/>
    <xf numFmtId="0" fontId="22" fillId="23" borderId="39" applyNumberFormat="0" applyAlignment="0" applyProtection="0"/>
    <xf numFmtId="0" fontId="23" fillId="0" borderId="41" applyNumberFormat="0" applyFill="0" applyAlignment="0" applyProtection="0"/>
    <xf numFmtId="0" fontId="24" fillId="24" borderId="42" applyNumberFormat="0" applyAlignment="0" applyProtection="0"/>
    <xf numFmtId="0" fontId="7" fillId="0" borderId="0" applyNumberFormat="0" applyFill="0" applyBorder="0" applyAlignment="0" applyProtection="0"/>
    <xf numFmtId="0" fontId="6" fillId="6" borderId="33" applyNumberFormat="0" applyFont="0" applyAlignment="0" applyProtection="0"/>
    <xf numFmtId="0" fontId="25" fillId="0" borderId="0" applyNumberFormat="0" applyFill="0" applyBorder="0" applyAlignment="0" applyProtection="0"/>
    <xf numFmtId="0" fontId="8" fillId="0" borderId="43" applyNumberFormat="0" applyFill="0" applyAlignment="0" applyProtection="0"/>
    <xf numFmtId="0" fontId="26" fillId="25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26" fillId="28" borderId="0" applyNumberFormat="0" applyBorder="0" applyAlignment="0" applyProtection="0"/>
    <xf numFmtId="0" fontId="26" fillId="29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26" fillId="32" borderId="0" applyNumberFormat="0" applyBorder="0" applyAlignment="0" applyProtection="0"/>
    <xf numFmtId="0" fontId="26" fillId="3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26" fillId="36" borderId="0" applyNumberFormat="0" applyBorder="0" applyAlignment="0" applyProtection="0"/>
    <xf numFmtId="43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5" fillId="0" borderId="0"/>
    <xf numFmtId="9" fontId="37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12">
    <xf numFmtId="0" fontId="0" fillId="0" borderId="0" xfId="0"/>
    <xf numFmtId="0" fontId="0" fillId="0" borderId="0" xfId="0" applyAlignment="1">
      <alignment horizontal="center"/>
    </xf>
    <xf numFmtId="0" fontId="1" fillId="0" borderId="0" xfId="3"/>
    <xf numFmtId="0" fontId="1" fillId="0" borderId="0" xfId="3" applyAlignment="1">
      <alignment horizontal="center"/>
    </xf>
    <xf numFmtId="0" fontId="1" fillId="0" borderId="0" xfId="3" applyAlignment="1">
      <alignment vertical="center"/>
    </xf>
    <xf numFmtId="0" fontId="1" fillId="0" borderId="0" xfId="3" applyAlignment="1">
      <alignment horizontal="center" vertical="center"/>
    </xf>
    <xf numFmtId="0" fontId="8" fillId="0" borderId="0" xfId="0" applyFont="1"/>
    <xf numFmtId="0" fontId="0" fillId="0" borderId="0" xfId="0" applyAlignment="1">
      <alignment horizontal="center" vertical="center"/>
    </xf>
    <xf numFmtId="0" fontId="12" fillId="0" borderId="0" xfId="0" applyFont="1"/>
    <xf numFmtId="0" fontId="0" fillId="3" borderId="14" xfId="0" applyFill="1" applyBorder="1" applyAlignment="1">
      <alignment horizontal="center" vertical="center"/>
    </xf>
    <xf numFmtId="166" fontId="0" fillId="0" borderId="0" xfId="0" applyNumberFormat="1" applyAlignment="1">
      <alignment horizontal="center"/>
    </xf>
    <xf numFmtId="164" fontId="0" fillId="3" borderId="1" xfId="0" applyNumberFormat="1" applyFill="1" applyBorder="1" applyAlignment="1">
      <alignment horizontal="center" vertical="center"/>
    </xf>
    <xf numFmtId="164" fontId="0" fillId="3" borderId="15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0" fontId="3" fillId="0" borderId="0" xfId="0" applyFont="1"/>
    <xf numFmtId="164" fontId="0" fillId="0" borderId="0" xfId="0" applyNumberFormat="1" applyAlignment="1">
      <alignment horizontal="center"/>
    </xf>
    <xf numFmtId="0" fontId="9" fillId="0" borderId="0" xfId="3" applyFont="1"/>
    <xf numFmtId="0" fontId="1" fillId="0" borderId="1" xfId="3" applyBorder="1" applyAlignment="1">
      <alignment horizontal="left" vertical="center"/>
    </xf>
    <xf numFmtId="0" fontId="1" fillId="0" borderId="1" xfId="3" applyBorder="1" applyAlignment="1">
      <alignment vertical="center"/>
    </xf>
    <xf numFmtId="0" fontId="3" fillId="0" borderId="0" xfId="3" applyFont="1" applyAlignment="1">
      <alignment horizontal="center" vertical="center"/>
    </xf>
    <xf numFmtId="9" fontId="1" fillId="0" borderId="0" xfId="3" applyNumberFormat="1" applyAlignment="1">
      <alignment horizontal="center" vertical="center"/>
    </xf>
    <xf numFmtId="0" fontId="27" fillId="0" borderId="0" xfId="3" applyFont="1" applyAlignment="1">
      <alignment horizontal="center"/>
    </xf>
    <xf numFmtId="0" fontId="1" fillId="0" borderId="0" xfId="3" applyAlignment="1">
      <alignment horizontal="left" vertical="top" wrapText="1"/>
    </xf>
    <xf numFmtId="0" fontId="28" fillId="0" borderId="0" xfId="0" applyFont="1"/>
    <xf numFmtId="166" fontId="6" fillId="0" borderId="0" xfId="2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/>
    </xf>
    <xf numFmtId="166" fontId="0" fillId="0" borderId="13" xfId="0" applyNumberFormat="1" applyBorder="1" applyAlignment="1">
      <alignment horizontal="center" vertical="center"/>
    </xf>
    <xf numFmtId="0" fontId="5" fillId="2" borderId="1" xfId="0" applyFont="1" applyFill="1" applyBorder="1"/>
    <xf numFmtId="166" fontId="5" fillId="2" borderId="3" xfId="0" applyNumberFormat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10" fillId="0" borderId="0" xfId="3" applyFont="1" applyAlignment="1">
      <alignment horizontal="center"/>
    </xf>
    <xf numFmtId="0" fontId="8" fillId="0" borderId="46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" fontId="8" fillId="0" borderId="6" xfId="0" applyNumberFormat="1" applyFont="1" applyBorder="1" applyAlignment="1">
      <alignment horizontal="center" vertical="center"/>
    </xf>
    <xf numFmtId="1" fontId="8" fillId="0" borderId="16" xfId="0" applyNumberFormat="1" applyFont="1" applyBorder="1" applyAlignment="1">
      <alignment horizontal="center" vertical="center"/>
    </xf>
    <xf numFmtId="10" fontId="8" fillId="0" borderId="16" xfId="2" applyNumberFormat="1" applyFont="1" applyFill="1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0" fontId="8" fillId="0" borderId="18" xfId="2" applyNumberFormat="1" applyFont="1" applyFill="1" applyBorder="1" applyAlignment="1">
      <alignment horizontal="center" vertical="center"/>
    </xf>
    <xf numFmtId="1" fontId="8" fillId="0" borderId="19" xfId="0" applyNumberFormat="1" applyFont="1" applyBorder="1" applyAlignment="1">
      <alignment horizontal="center" vertical="center"/>
    </xf>
    <xf numFmtId="1" fontId="8" fillId="0" borderId="8" xfId="0" applyNumberFormat="1" applyFont="1" applyBorder="1" applyAlignment="1">
      <alignment horizontal="center" vertical="center"/>
    </xf>
    <xf numFmtId="1" fontId="8" fillId="0" borderId="20" xfId="0" applyNumberFormat="1" applyFont="1" applyBorder="1" applyAlignment="1">
      <alignment horizontal="center" vertical="center"/>
    </xf>
    <xf numFmtId="10" fontId="8" fillId="0" borderId="20" xfId="2" applyNumberFormat="1" applyFont="1" applyBorder="1" applyAlignment="1">
      <alignment horizontal="center" vertical="center"/>
    </xf>
    <xf numFmtId="1" fontId="8" fillId="0" borderId="21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" fillId="4" borderId="15" xfId="3" applyFont="1" applyFill="1" applyBorder="1" applyAlignment="1">
      <alignment horizontal="center" vertical="center"/>
    </xf>
    <xf numFmtId="0" fontId="32" fillId="0" borderId="0" xfId="3" applyFont="1" applyAlignment="1">
      <alignment vertical="center"/>
    </xf>
    <xf numFmtId="0" fontId="3" fillId="4" borderId="3" xfId="3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1" fontId="0" fillId="37" borderId="54" xfId="0" applyNumberFormat="1" applyFill="1" applyBorder="1" applyAlignment="1">
      <alignment horizontal="center" vertical="center"/>
    </xf>
    <xf numFmtId="1" fontId="0" fillId="37" borderId="48" xfId="0" applyNumberFormat="1" applyFill="1" applyBorder="1" applyAlignment="1">
      <alignment horizontal="center" vertical="center"/>
    </xf>
    <xf numFmtId="1" fontId="0" fillId="37" borderId="14" xfId="0" applyNumberForma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0" fontId="0" fillId="37" borderId="48" xfId="0" applyFill="1" applyBorder="1" applyAlignment="1">
      <alignment horizontal="center" vertical="center"/>
    </xf>
    <xf numFmtId="2" fontId="0" fillId="37" borderId="19" xfId="0" applyNumberFormat="1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1" fontId="0" fillId="0" borderId="48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2" fontId="0" fillId="0" borderId="59" xfId="0" applyNumberFormat="1" applyBorder="1" applyAlignment="1">
      <alignment horizontal="center" vertical="center"/>
    </xf>
    <xf numFmtId="165" fontId="6" fillId="0" borderId="7" xfId="2" applyNumberFormat="1" applyFont="1" applyFill="1" applyBorder="1" applyAlignment="1">
      <alignment horizontal="center" vertical="center"/>
    </xf>
    <xf numFmtId="165" fontId="6" fillId="0" borderId="6" xfId="2" applyNumberFormat="1" applyFont="1" applyFill="1" applyBorder="1" applyAlignment="1">
      <alignment horizontal="center" vertical="center"/>
    </xf>
    <xf numFmtId="165" fontId="6" fillId="0" borderId="8" xfId="2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6" fontId="0" fillId="0" borderId="31" xfId="0" applyNumberFormat="1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48" xfId="0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1" fontId="0" fillId="0" borderId="50" xfId="0" applyNumberFormat="1" applyBorder="1" applyAlignment="1">
      <alignment horizontal="center"/>
    </xf>
    <xf numFmtId="166" fontId="0" fillId="0" borderId="47" xfId="0" applyNumberFormat="1" applyBorder="1" applyAlignment="1">
      <alignment horizontal="center"/>
    </xf>
    <xf numFmtId="1" fontId="0" fillId="37" borderId="48" xfId="0" applyNumberFormat="1" applyFill="1" applyBorder="1" applyAlignment="1">
      <alignment horizontal="center"/>
    </xf>
    <xf numFmtId="166" fontId="0" fillId="37" borderId="31" xfId="0" applyNumberFormat="1" applyFill="1" applyBorder="1" applyAlignment="1">
      <alignment horizontal="center"/>
    </xf>
    <xf numFmtId="0" fontId="0" fillId="37" borderId="48" xfId="0" applyFill="1" applyBorder="1" applyAlignment="1">
      <alignment horizontal="center"/>
    </xf>
    <xf numFmtId="0" fontId="0" fillId="3" borderId="15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1" fillId="0" borderId="0" xfId="0" applyFont="1" applyAlignment="1">
      <alignment horizontal="center" vertical="center"/>
    </xf>
    <xf numFmtId="1" fontId="41" fillId="0" borderId="0" xfId="137" applyNumberFormat="1" applyFont="1" applyAlignment="1">
      <alignment horizontal="center" vertical="center"/>
    </xf>
    <xf numFmtId="0" fontId="3" fillId="0" borderId="0" xfId="3" applyFont="1" applyAlignment="1">
      <alignment horizontal="center"/>
    </xf>
    <xf numFmtId="0" fontId="3" fillId="4" borderId="15" xfId="3" quotePrefix="1" applyFont="1" applyFill="1" applyBorder="1" applyAlignment="1">
      <alignment horizontal="center" vertical="center"/>
    </xf>
    <xf numFmtId="0" fontId="1" fillId="0" borderId="0" xfId="3" applyProtection="1">
      <protection locked="0"/>
    </xf>
    <xf numFmtId="0" fontId="9" fillId="0" borderId="0" xfId="3" applyFont="1" applyProtection="1">
      <protection locked="0"/>
    </xf>
    <xf numFmtId="0" fontId="1" fillId="0" borderId="0" xfId="3" applyAlignment="1" applyProtection="1">
      <alignment vertical="center"/>
      <protection locked="0"/>
    </xf>
    <xf numFmtId="0" fontId="10" fillId="0" borderId="0" xfId="3" applyFont="1" applyAlignment="1" applyProtection="1">
      <alignment vertical="center"/>
      <protection locked="0"/>
    </xf>
    <xf numFmtId="17" fontId="1" fillId="0" borderId="0" xfId="3" quotePrefix="1" applyNumberFormat="1" applyAlignment="1" applyProtection="1">
      <alignment horizontal="right" vertical="center"/>
      <protection locked="0"/>
    </xf>
    <xf numFmtId="0" fontId="3" fillId="0" borderId="0" xfId="3" applyFont="1" applyAlignment="1" applyProtection="1">
      <alignment horizontal="center" vertical="center"/>
      <protection locked="0"/>
    </xf>
    <xf numFmtId="0" fontId="1" fillId="0" borderId="0" xfId="3" applyAlignment="1" applyProtection="1">
      <alignment horizontal="center" vertical="center"/>
      <protection locked="0"/>
    </xf>
    <xf numFmtId="0" fontId="1" fillId="0" borderId="1" xfId="3" applyBorder="1" applyAlignment="1" applyProtection="1">
      <alignment horizontal="left" vertical="center"/>
      <protection locked="0"/>
    </xf>
    <xf numFmtId="0" fontId="1" fillId="0" borderId="1" xfId="3" applyBorder="1" applyAlignment="1" applyProtection="1">
      <alignment vertical="center"/>
      <protection locked="0"/>
    </xf>
    <xf numFmtId="0" fontId="1" fillId="0" borderId="2" xfId="3" applyBorder="1" applyAlignment="1" applyProtection="1">
      <alignment horizontal="center" vertical="center"/>
      <protection locked="0"/>
    </xf>
    <xf numFmtId="0" fontId="1" fillId="0" borderId="2" xfId="3" applyBorder="1" applyAlignment="1" applyProtection="1">
      <alignment vertical="center"/>
      <protection locked="0"/>
    </xf>
    <xf numFmtId="49" fontId="2" fillId="0" borderId="0" xfId="3" applyNumberFormat="1" applyFont="1" applyAlignment="1" applyProtection="1">
      <alignment horizontal="left" vertical="center"/>
      <protection locked="0"/>
    </xf>
    <xf numFmtId="0" fontId="3" fillId="0" borderId="0" xfId="3" applyFont="1" applyProtection="1">
      <protection locked="0"/>
    </xf>
    <xf numFmtId="0" fontId="3" fillId="0" borderId="0" xfId="3" applyFont="1" applyAlignment="1" applyProtection="1">
      <alignment vertical="center"/>
      <protection locked="0"/>
    </xf>
    <xf numFmtId="0" fontId="1" fillId="0" borderId="15" xfId="3" applyBorder="1" applyProtection="1">
      <protection locked="0"/>
    </xf>
    <xf numFmtId="0" fontId="1" fillId="0" borderId="1" xfId="3" applyBorder="1" applyProtection="1">
      <protection locked="0"/>
    </xf>
    <xf numFmtId="0" fontId="1" fillId="0" borderId="2" xfId="3" applyBorder="1" applyProtection="1">
      <protection locked="0"/>
    </xf>
    <xf numFmtId="0" fontId="1" fillId="0" borderId="0" xfId="3" applyAlignment="1" applyProtection="1">
      <alignment horizontal="left"/>
      <protection locked="0"/>
    </xf>
    <xf numFmtId="0" fontId="1" fillId="0" borderId="15" xfId="3" applyBorder="1" applyAlignment="1" applyProtection="1">
      <alignment vertical="center"/>
      <protection locked="0"/>
    </xf>
    <xf numFmtId="0" fontId="31" fillId="0" borderId="0" xfId="3" applyFont="1" applyAlignment="1" applyProtection="1">
      <alignment horizontal="center" vertical="center"/>
      <protection locked="0"/>
    </xf>
    <xf numFmtId="0" fontId="1" fillId="0" borderId="0" xfId="3" applyAlignment="1" applyProtection="1">
      <alignment horizontal="center"/>
      <protection locked="0"/>
    </xf>
    <xf numFmtId="0" fontId="1" fillId="0" borderId="6" xfId="3" applyBorder="1" applyProtection="1">
      <protection locked="0"/>
    </xf>
    <xf numFmtId="0" fontId="1" fillId="0" borderId="17" xfId="3" applyBorder="1" applyProtection="1">
      <protection locked="0"/>
    </xf>
    <xf numFmtId="0" fontId="1" fillId="0" borderId="7" xfId="3" applyBorder="1" applyAlignment="1" applyProtection="1">
      <alignment vertical="center"/>
      <protection locked="0"/>
    </xf>
    <xf numFmtId="0" fontId="1" fillId="0" borderId="19" xfId="3" applyBorder="1" applyAlignment="1" applyProtection="1">
      <alignment horizontal="center" vertical="center"/>
      <protection locked="0"/>
    </xf>
    <xf numFmtId="0" fontId="1" fillId="0" borderId="7" xfId="3" applyBorder="1" applyAlignment="1" applyProtection="1">
      <alignment horizontal="center" vertical="center"/>
      <protection locked="0"/>
    </xf>
    <xf numFmtId="0" fontId="1" fillId="0" borderId="18" xfId="3" applyBorder="1" applyAlignment="1" applyProtection="1">
      <alignment horizontal="center" vertical="center"/>
      <protection locked="0"/>
    </xf>
    <xf numFmtId="0" fontId="1" fillId="0" borderId="19" xfId="3" applyBorder="1" applyAlignment="1" applyProtection="1">
      <alignment vertical="center"/>
      <protection locked="0"/>
    </xf>
    <xf numFmtId="0" fontId="34" fillId="0" borderId="18" xfId="3" applyFont="1" applyBorder="1" applyAlignment="1" applyProtection="1">
      <alignment horizontal="center" vertical="center"/>
      <protection locked="0"/>
    </xf>
    <xf numFmtId="0" fontId="1" fillId="0" borderId="18" xfId="3" applyBorder="1" applyAlignment="1" applyProtection="1">
      <alignment vertical="center"/>
      <protection locked="0"/>
    </xf>
    <xf numFmtId="0" fontId="1" fillId="0" borderId="8" xfId="3" applyBorder="1" applyProtection="1">
      <protection locked="0"/>
    </xf>
    <xf numFmtId="0" fontId="1" fillId="0" borderId="21" xfId="3" applyBorder="1" applyProtection="1">
      <protection locked="0"/>
    </xf>
    <xf numFmtId="0" fontId="1" fillId="0" borderId="8" xfId="3" applyBorder="1" applyAlignment="1" applyProtection="1">
      <alignment horizontal="center"/>
      <protection locked="0"/>
    </xf>
    <xf numFmtId="0" fontId="1" fillId="0" borderId="20" xfId="3" applyBorder="1" applyAlignment="1" applyProtection="1">
      <alignment horizontal="center"/>
      <protection locked="0"/>
    </xf>
    <xf numFmtId="0" fontId="1" fillId="0" borderId="21" xfId="3" applyBorder="1" applyAlignment="1" applyProtection="1">
      <alignment horizontal="center"/>
      <protection locked="0"/>
    </xf>
    <xf numFmtId="0" fontId="1" fillId="0" borderId="20" xfId="3" applyBorder="1" applyAlignment="1" applyProtection="1">
      <alignment horizontal="center" vertical="center"/>
      <protection locked="0"/>
    </xf>
    <xf numFmtId="1" fontId="1" fillId="37" borderId="29" xfId="3" applyNumberFormat="1" applyFill="1" applyBorder="1" applyAlignment="1" applyProtection="1">
      <alignment horizontal="center" vertical="center"/>
      <protection locked="0"/>
    </xf>
    <xf numFmtId="164" fontId="1" fillId="0" borderId="29" xfId="3" applyNumberFormat="1" applyBorder="1" applyAlignment="1" applyProtection="1">
      <alignment horizontal="center" vertical="center"/>
      <protection locked="0"/>
    </xf>
    <xf numFmtId="1" fontId="1" fillId="37" borderId="62" xfId="3" applyNumberFormat="1" applyFill="1" applyBorder="1" applyAlignment="1" applyProtection="1">
      <alignment horizontal="center" vertical="center" wrapText="1"/>
      <protection locked="0"/>
    </xf>
    <xf numFmtId="0" fontId="29" fillId="37" borderId="63" xfId="3" applyFont="1" applyFill="1" applyBorder="1" applyAlignment="1" applyProtection="1">
      <alignment horizontal="center" vertical="center"/>
      <protection locked="0"/>
    </xf>
    <xf numFmtId="0" fontId="1" fillId="0" borderId="0" xfId="3" applyAlignment="1" applyProtection="1">
      <alignment vertical="top" wrapText="1"/>
      <protection locked="0"/>
    </xf>
    <xf numFmtId="14" fontId="2" fillId="37" borderId="48" xfId="3" applyNumberFormat="1" applyFont="1" applyFill="1" applyBorder="1" applyAlignment="1" applyProtection="1">
      <alignment horizontal="center" vertical="center"/>
      <protection locked="0"/>
    </xf>
    <xf numFmtId="1" fontId="1" fillId="37" borderId="7" xfId="3" applyNumberFormat="1" applyFill="1" applyBorder="1" applyAlignment="1" applyProtection="1">
      <alignment horizontal="center" vertical="center"/>
      <protection locked="0"/>
    </xf>
    <xf numFmtId="1" fontId="1" fillId="37" borderId="18" xfId="3" applyNumberFormat="1" applyFill="1" applyBorder="1" applyAlignment="1" applyProtection="1">
      <alignment horizontal="center" vertical="center"/>
      <protection locked="0"/>
    </xf>
    <xf numFmtId="1" fontId="1" fillId="37" borderId="19" xfId="3" applyNumberFormat="1" applyFill="1" applyBorder="1" applyAlignment="1" applyProtection="1">
      <alignment horizontal="center" vertical="center" wrapText="1"/>
      <protection locked="0"/>
    </xf>
    <xf numFmtId="0" fontId="29" fillId="37" borderId="7" xfId="3" applyFont="1" applyFill="1" applyBorder="1" applyAlignment="1" applyProtection="1">
      <alignment horizontal="center" vertical="center"/>
      <protection locked="0"/>
    </xf>
    <xf numFmtId="14" fontId="2" fillId="37" borderId="50" xfId="3" applyNumberFormat="1" applyFont="1" applyFill="1" applyBorder="1" applyAlignment="1" applyProtection="1">
      <alignment horizontal="center" vertical="center"/>
      <protection locked="0"/>
    </xf>
    <xf numFmtId="1" fontId="1" fillId="37" borderId="8" xfId="3" applyNumberFormat="1" applyFill="1" applyBorder="1" applyAlignment="1" applyProtection="1">
      <alignment horizontal="center" vertical="center"/>
      <protection locked="0"/>
    </xf>
    <xf numFmtId="1" fontId="1" fillId="37" borderId="20" xfId="3" applyNumberFormat="1" applyFill="1" applyBorder="1" applyAlignment="1" applyProtection="1">
      <alignment horizontal="center" vertical="center"/>
      <protection locked="0"/>
    </xf>
    <xf numFmtId="1" fontId="1" fillId="37" borderId="21" xfId="3" applyNumberFormat="1" applyFill="1" applyBorder="1" applyAlignment="1" applyProtection="1">
      <alignment horizontal="center" vertical="center" wrapText="1"/>
      <protection locked="0"/>
    </xf>
    <xf numFmtId="0" fontId="29" fillId="37" borderId="8" xfId="3" applyFont="1" applyFill="1" applyBorder="1" applyAlignment="1" applyProtection="1">
      <alignment horizontal="center" vertical="center"/>
      <protection locked="0"/>
    </xf>
    <xf numFmtId="1" fontId="3" fillId="0" borderId="53" xfId="3" applyNumberFormat="1" applyFont="1" applyBorder="1" applyAlignment="1" applyProtection="1">
      <alignment horizontal="center"/>
      <protection locked="0"/>
    </xf>
    <xf numFmtId="1" fontId="1" fillId="0" borderId="29" xfId="3" applyNumberFormat="1" applyBorder="1" applyAlignment="1" applyProtection="1">
      <alignment horizontal="center"/>
      <protection locked="0"/>
    </xf>
    <xf numFmtId="0" fontId="1" fillId="0" borderId="26" xfId="3" applyBorder="1" applyProtection="1">
      <protection locked="0"/>
    </xf>
    <xf numFmtId="0" fontId="1" fillId="0" borderId="55" xfId="3" applyBorder="1" applyAlignment="1" applyProtection="1">
      <alignment horizontal="center" vertical="center"/>
      <protection locked="0"/>
    </xf>
    <xf numFmtId="0" fontId="1" fillId="0" borderId="31" xfId="3" applyBorder="1" applyAlignment="1" applyProtection="1">
      <alignment horizontal="center" vertical="center"/>
      <protection locked="0"/>
    </xf>
    <xf numFmtId="0" fontId="1" fillId="0" borderId="32" xfId="3" applyBorder="1" applyAlignment="1" applyProtection="1">
      <alignment horizontal="center" vertical="center"/>
      <protection locked="0"/>
    </xf>
    <xf numFmtId="164" fontId="1" fillId="37" borderId="58" xfId="3" applyNumberFormat="1" applyFill="1" applyBorder="1" applyAlignment="1" applyProtection="1">
      <alignment horizontal="center" vertical="center"/>
      <protection locked="0"/>
    </xf>
    <xf numFmtId="164" fontId="1" fillId="0" borderId="0" xfId="3" applyNumberFormat="1" applyProtection="1">
      <protection locked="0"/>
    </xf>
    <xf numFmtId="1" fontId="11" fillId="0" borderId="0" xfId="3" applyNumberFormat="1" applyFont="1" applyAlignment="1" applyProtection="1">
      <alignment horizontal="right" vertical="center"/>
      <protection locked="0"/>
    </xf>
    <xf numFmtId="0" fontId="11" fillId="0" borderId="1" xfId="3" applyFont="1" applyBorder="1" applyProtection="1">
      <protection locked="0"/>
    </xf>
    <xf numFmtId="0" fontId="11" fillId="0" borderId="2" xfId="3" applyFont="1" applyBorder="1" applyProtection="1">
      <protection locked="0"/>
    </xf>
    <xf numFmtId="166" fontId="1" fillId="0" borderId="0" xfId="3" applyNumberFormat="1" applyAlignment="1" applyProtection="1">
      <alignment horizontal="right"/>
      <protection locked="0"/>
    </xf>
    <xf numFmtId="0" fontId="1" fillId="0" borderId="0" xfId="3" applyAlignment="1" applyProtection="1">
      <alignment horizontal="right"/>
      <protection locked="0"/>
    </xf>
    <xf numFmtId="1" fontId="1" fillId="37" borderId="63" xfId="3" applyNumberFormat="1" applyFill="1" applyBorder="1" applyAlignment="1">
      <alignment horizontal="center" vertical="center"/>
    </xf>
    <xf numFmtId="1" fontId="1" fillId="37" borderId="7" xfId="3" applyNumberFormat="1" applyFill="1" applyBorder="1" applyAlignment="1">
      <alignment horizontal="center" vertical="center"/>
    </xf>
    <xf numFmtId="166" fontId="29" fillId="37" borderId="62" xfId="4" applyNumberFormat="1" applyFont="1" applyFill="1" applyBorder="1" applyAlignment="1" applyProtection="1">
      <alignment horizontal="center" vertical="center"/>
    </xf>
    <xf numFmtId="166" fontId="29" fillId="37" borderId="19" xfId="4" applyNumberFormat="1" applyFont="1" applyFill="1" applyBorder="1" applyAlignment="1" applyProtection="1">
      <alignment horizontal="center" vertical="center"/>
    </xf>
    <xf numFmtId="166" fontId="29" fillId="37" borderId="21" xfId="4" applyNumberFormat="1" applyFont="1" applyFill="1" applyBorder="1" applyAlignment="1" applyProtection="1">
      <alignment horizontal="center" vertical="center"/>
    </xf>
    <xf numFmtId="166" fontId="33" fillId="37" borderId="29" xfId="4" applyNumberFormat="1" applyFont="1" applyFill="1" applyBorder="1" applyAlignment="1" applyProtection="1">
      <alignment horizontal="center" vertical="center"/>
    </xf>
    <xf numFmtId="166" fontId="33" fillId="37" borderId="18" xfId="4" applyNumberFormat="1" applyFont="1" applyFill="1" applyBorder="1" applyAlignment="1" applyProtection="1">
      <alignment horizontal="center" vertical="center"/>
    </xf>
    <xf numFmtId="166" fontId="33" fillId="37" borderId="20" xfId="4" applyNumberFormat="1" applyFont="1" applyFill="1" applyBorder="1" applyAlignment="1" applyProtection="1">
      <alignment horizontal="center" vertical="center"/>
    </xf>
    <xf numFmtId="164" fontId="29" fillId="37" borderId="29" xfId="3" applyNumberFormat="1" applyFont="1" applyFill="1" applyBorder="1" applyAlignment="1">
      <alignment horizontal="center" vertical="center"/>
    </xf>
    <xf numFmtId="164" fontId="29" fillId="37" borderId="18" xfId="3" applyNumberFormat="1" applyFont="1" applyFill="1" applyBorder="1" applyAlignment="1">
      <alignment horizontal="center" vertical="center"/>
    </xf>
    <xf numFmtId="164" fontId="29" fillId="37" borderId="20" xfId="3" applyNumberFormat="1" applyFont="1" applyFill="1" applyBorder="1" applyAlignment="1">
      <alignment horizontal="center" vertical="center"/>
    </xf>
    <xf numFmtId="1" fontId="29" fillId="37" borderId="29" xfId="3" applyNumberFormat="1" applyFont="1" applyFill="1" applyBorder="1" applyAlignment="1">
      <alignment horizontal="center" vertical="center"/>
    </xf>
    <xf numFmtId="1" fontId="29" fillId="37" borderId="18" xfId="3" applyNumberFormat="1" applyFont="1" applyFill="1" applyBorder="1" applyAlignment="1">
      <alignment horizontal="center" vertical="center"/>
    </xf>
    <xf numFmtId="1" fontId="29" fillId="37" borderId="20" xfId="3" applyNumberFormat="1" applyFont="1" applyFill="1" applyBorder="1" applyAlignment="1">
      <alignment horizontal="center" vertical="center"/>
    </xf>
    <xf numFmtId="164" fontId="3" fillId="0" borderId="22" xfId="3" applyNumberFormat="1" applyFont="1" applyBorder="1" applyAlignment="1">
      <alignment horizontal="center"/>
    </xf>
    <xf numFmtId="166" fontId="1" fillId="0" borderId="28" xfId="3" applyNumberFormat="1" applyBorder="1" applyAlignment="1">
      <alignment horizontal="center"/>
    </xf>
    <xf numFmtId="1" fontId="3" fillId="0" borderId="22" xfId="3" applyNumberFormat="1" applyFont="1" applyBorder="1" applyAlignment="1">
      <alignment horizontal="center"/>
    </xf>
    <xf numFmtId="166" fontId="3" fillId="0" borderId="53" xfId="3" applyNumberFormat="1" applyFont="1" applyBorder="1" applyAlignment="1">
      <alignment horizontal="center"/>
    </xf>
    <xf numFmtId="166" fontId="1" fillId="0" borderId="29" xfId="3" applyNumberFormat="1" applyBorder="1" applyAlignment="1">
      <alignment horizontal="center"/>
    </xf>
    <xf numFmtId="166" fontId="3" fillId="0" borderId="22" xfId="3" applyNumberFormat="1" applyFont="1" applyBorder="1" applyAlignment="1">
      <alignment horizontal="center"/>
    </xf>
    <xf numFmtId="1" fontId="3" fillId="0" borderId="53" xfId="3" applyNumberFormat="1" applyFont="1" applyBorder="1" applyAlignment="1">
      <alignment horizontal="center"/>
    </xf>
    <xf numFmtId="166" fontId="33" fillId="37" borderId="62" xfId="3" applyNumberFormat="1" applyFont="1" applyFill="1" applyBorder="1" applyAlignment="1">
      <alignment horizontal="center" vertical="center" wrapText="1"/>
    </xf>
    <xf numFmtId="166" fontId="33" fillId="37" borderId="19" xfId="3" applyNumberFormat="1" applyFont="1" applyFill="1" applyBorder="1" applyAlignment="1">
      <alignment horizontal="center" vertical="center" wrapText="1"/>
    </xf>
    <xf numFmtId="166" fontId="33" fillId="37" borderId="21" xfId="3" applyNumberFormat="1" applyFont="1" applyFill="1" applyBorder="1" applyAlignment="1">
      <alignment horizontal="center" vertical="center" wrapText="1"/>
    </xf>
    <xf numFmtId="1" fontId="1" fillId="0" borderId="53" xfId="3" applyNumberFormat="1" applyBorder="1" applyAlignment="1">
      <alignment horizontal="center"/>
    </xf>
    <xf numFmtId="166" fontId="1" fillId="0" borderId="23" xfId="3" applyNumberFormat="1" applyBorder="1" applyAlignment="1">
      <alignment horizontal="center" vertical="center"/>
    </xf>
    <xf numFmtId="164" fontId="1" fillId="0" borderId="53" xfId="3" applyNumberFormat="1" applyBorder="1" applyAlignment="1">
      <alignment horizontal="center"/>
    </xf>
    <xf numFmtId="1" fontId="11" fillId="0" borderId="53" xfId="3" applyNumberFormat="1" applyFont="1" applyBorder="1" applyAlignment="1">
      <alignment horizontal="center" vertical="center"/>
    </xf>
    <xf numFmtId="164" fontId="1" fillId="0" borderId="23" xfId="3" applyNumberFormat="1" applyBorder="1" applyAlignment="1">
      <alignment horizontal="center"/>
    </xf>
    <xf numFmtId="166" fontId="11" fillId="0" borderId="53" xfId="3" applyNumberFormat="1" applyFont="1" applyBorder="1" applyAlignment="1">
      <alignment horizontal="center" vertical="center"/>
    </xf>
    <xf numFmtId="2" fontId="1" fillId="0" borderId="26" xfId="3" applyNumberFormat="1" applyBorder="1" applyAlignment="1">
      <alignment horizontal="center"/>
    </xf>
    <xf numFmtId="2" fontId="1" fillId="0" borderId="29" xfId="3" applyNumberFormat="1" applyBorder="1" applyAlignment="1">
      <alignment horizontal="center"/>
    </xf>
    <xf numFmtId="165" fontId="11" fillId="5" borderId="15" xfId="3" applyNumberFormat="1" applyFont="1" applyFill="1" applyBorder="1" applyAlignment="1">
      <alignment horizontal="center" vertical="center"/>
    </xf>
    <xf numFmtId="1" fontId="3" fillId="5" borderId="9" xfId="3" applyNumberFormat="1" applyFont="1" applyFill="1" applyBorder="1"/>
    <xf numFmtId="165" fontId="3" fillId="5" borderId="11" xfId="2" applyNumberFormat="1" applyFont="1" applyFill="1" applyBorder="1" applyProtection="1"/>
    <xf numFmtId="1" fontId="3" fillId="5" borderId="5" xfId="3" applyNumberFormat="1" applyFont="1" applyFill="1" applyBorder="1"/>
    <xf numFmtId="165" fontId="3" fillId="5" borderId="13" xfId="2" applyNumberFormat="1" applyFont="1" applyFill="1" applyBorder="1" applyProtection="1"/>
    <xf numFmtId="2" fontId="0" fillId="0" borderId="67" xfId="0" applyNumberFormat="1" applyBorder="1" applyAlignment="1">
      <alignment horizontal="center"/>
    </xf>
    <xf numFmtId="2" fontId="0" fillId="37" borderId="65" xfId="0" applyNumberFormat="1" applyFill="1" applyBorder="1" applyAlignment="1">
      <alignment horizontal="center"/>
    </xf>
    <xf numFmtId="2" fontId="0" fillId="0" borderId="65" xfId="0" applyNumberFormat="1" applyBorder="1" applyAlignment="1">
      <alignment horizontal="center"/>
    </xf>
    <xf numFmtId="2" fontId="0" fillId="0" borderId="66" xfId="0" applyNumberFormat="1" applyBorder="1" applyAlignment="1">
      <alignment horizontal="center"/>
    </xf>
    <xf numFmtId="165" fontId="6" fillId="0" borderId="69" xfId="2" applyNumberFormat="1" applyFont="1" applyFill="1" applyBorder="1" applyAlignment="1">
      <alignment horizontal="center" vertical="center"/>
    </xf>
    <xf numFmtId="165" fontId="6" fillId="0" borderId="48" xfId="2" applyNumberFormat="1" applyFont="1" applyFill="1" applyBorder="1" applyAlignment="1">
      <alignment horizontal="center" vertical="center"/>
    </xf>
    <xf numFmtId="165" fontId="6" fillId="0" borderId="50" xfId="2" applyNumberFormat="1" applyFont="1" applyFill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50" xfId="0" applyBorder="1" applyAlignment="1">
      <alignment horizontal="center"/>
    </xf>
    <xf numFmtId="0" fontId="3" fillId="37" borderId="7" xfId="3" applyFont="1" applyFill="1" applyBorder="1" applyAlignment="1" applyProtection="1">
      <alignment horizontal="left"/>
      <protection locked="0"/>
    </xf>
    <xf numFmtId="0" fontId="44" fillId="0" borderId="0" xfId="3" applyFont="1" applyProtection="1">
      <protection locked="0"/>
    </xf>
    <xf numFmtId="0" fontId="3" fillId="39" borderId="15" xfId="3" applyFont="1" applyFill="1" applyBorder="1" applyAlignment="1" applyProtection="1">
      <alignment horizontal="center" vertical="center"/>
      <protection locked="0"/>
    </xf>
    <xf numFmtId="0" fontId="3" fillId="39" borderId="15" xfId="3" applyFont="1" applyFill="1" applyBorder="1" applyAlignment="1" applyProtection="1">
      <alignment vertical="center"/>
      <protection locked="0"/>
    </xf>
    <xf numFmtId="0" fontId="3" fillId="39" borderId="3" xfId="3" applyFont="1" applyFill="1" applyBorder="1" applyAlignment="1" applyProtection="1">
      <alignment vertical="center"/>
      <protection locked="0"/>
    </xf>
    <xf numFmtId="0" fontId="27" fillId="0" borderId="0" xfId="3" applyFont="1" applyAlignment="1" applyProtection="1">
      <alignment horizontal="left"/>
      <protection locked="0"/>
    </xf>
    <xf numFmtId="0" fontId="27" fillId="0" borderId="0" xfId="3" applyFont="1" applyProtection="1">
      <protection locked="0"/>
    </xf>
    <xf numFmtId="0" fontId="3" fillId="40" borderId="2" xfId="3" applyFont="1" applyFill="1" applyBorder="1" applyAlignment="1">
      <alignment horizontal="center"/>
    </xf>
    <xf numFmtId="0" fontId="3" fillId="40" borderId="3" xfId="3" applyFont="1" applyFill="1" applyBorder="1" applyAlignment="1">
      <alignment horizontal="center" vertical="center"/>
    </xf>
    <xf numFmtId="164" fontId="1" fillId="0" borderId="18" xfId="3" applyNumberFormat="1" applyBorder="1" applyAlignment="1">
      <alignment horizontal="center" vertical="center"/>
    </xf>
    <xf numFmtId="1" fontId="1" fillId="0" borderId="18" xfId="3" applyNumberFormat="1" applyBorder="1" applyAlignment="1">
      <alignment horizontal="center" vertical="center"/>
    </xf>
    <xf numFmtId="0" fontId="8" fillId="0" borderId="18" xfId="2" applyNumberFormat="1" applyFont="1" applyFill="1" applyBorder="1" applyAlignment="1">
      <alignment horizontal="center" vertical="center"/>
    </xf>
    <xf numFmtId="164" fontId="0" fillId="0" borderId="47" xfId="0" applyNumberFormat="1" applyBorder="1" applyAlignment="1">
      <alignment horizontal="center" vertical="center"/>
    </xf>
    <xf numFmtId="164" fontId="0" fillId="37" borderId="31" xfId="0" applyNumberFormat="1" applyFill="1" applyBorder="1" applyAlignment="1">
      <alignment horizontal="center" vertical="center"/>
    </xf>
    <xf numFmtId="164" fontId="0" fillId="0" borderId="31" xfId="0" applyNumberFormat="1" applyBorder="1" applyAlignment="1">
      <alignment horizontal="center" vertical="center"/>
    </xf>
    <xf numFmtId="0" fontId="8" fillId="0" borderId="7" xfId="2" applyNumberFormat="1" applyFont="1" applyFill="1" applyBorder="1" applyAlignment="1">
      <alignment horizontal="center" vertical="center"/>
    </xf>
    <xf numFmtId="0" fontId="1" fillId="37" borderId="57" xfId="3" applyFill="1" applyBorder="1" applyAlignment="1" applyProtection="1">
      <alignment horizontal="left"/>
      <protection locked="0"/>
    </xf>
    <xf numFmtId="0" fontId="1" fillId="37" borderId="25" xfId="3" applyFill="1" applyBorder="1" applyAlignment="1" applyProtection="1">
      <alignment horizontal="left"/>
      <protection locked="0"/>
    </xf>
    <xf numFmtId="0" fontId="1" fillId="37" borderId="65" xfId="3" applyFill="1" applyBorder="1" applyAlignment="1" applyProtection="1">
      <alignment horizontal="left"/>
      <protection locked="0"/>
    </xf>
    <xf numFmtId="0" fontId="1" fillId="0" borderId="69" xfId="3" applyBorder="1" applyAlignment="1" applyProtection="1">
      <alignment horizontal="center" vertical="center"/>
      <protection locked="0"/>
    </xf>
    <xf numFmtId="0" fontId="1" fillId="0" borderId="49" xfId="3" applyBorder="1" applyAlignment="1" applyProtection="1">
      <alignment horizontal="center"/>
      <protection locked="0"/>
    </xf>
    <xf numFmtId="49" fontId="2" fillId="0" borderId="69" xfId="3" applyNumberFormat="1" applyFont="1" applyBorder="1" applyAlignment="1" applyProtection="1">
      <alignment horizontal="center" vertical="center"/>
      <protection locked="0"/>
    </xf>
    <xf numFmtId="49" fontId="2" fillId="0" borderId="48" xfId="3" applyNumberFormat="1" applyFont="1" applyBorder="1" applyAlignment="1" applyProtection="1">
      <alignment horizontal="center" vertical="center"/>
      <protection locked="0"/>
    </xf>
    <xf numFmtId="49" fontId="2" fillId="0" borderId="14" xfId="3" applyNumberFormat="1" applyFont="1" applyBorder="1" applyAlignment="1" applyProtection="1">
      <alignment horizontal="center" vertical="center"/>
      <protection locked="0"/>
    </xf>
    <xf numFmtId="14" fontId="2" fillId="37" borderId="69" xfId="3" applyNumberFormat="1" applyFont="1" applyFill="1" applyBorder="1" applyAlignment="1" applyProtection="1">
      <alignment horizontal="center" vertical="center"/>
      <protection locked="0"/>
    </xf>
    <xf numFmtId="0" fontId="0" fillId="0" borderId="18" xfId="0" applyBorder="1" applyAlignment="1">
      <alignment vertical="center"/>
    </xf>
    <xf numFmtId="0" fontId="42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1" fontId="41" fillId="0" borderId="0" xfId="0" applyNumberFormat="1" applyFont="1" applyAlignment="1">
      <alignment horizontal="center" vertical="center"/>
    </xf>
    <xf numFmtId="1" fontId="48" fillId="0" borderId="0" xfId="137" applyNumberFormat="1" applyFont="1" applyAlignment="1">
      <alignment horizontal="center" vertical="center"/>
    </xf>
    <xf numFmtId="166" fontId="41" fillId="0" borderId="0" xfId="137" applyNumberFormat="1" applyFont="1" applyAlignment="1">
      <alignment horizontal="center" vertical="center"/>
    </xf>
    <xf numFmtId="166" fontId="41" fillId="0" borderId="0" xfId="0" applyNumberFormat="1" applyFont="1" applyAlignment="1">
      <alignment horizontal="center" vertical="center"/>
    </xf>
    <xf numFmtId="166" fontId="48" fillId="0" borderId="0" xfId="137" applyNumberFormat="1" applyFont="1" applyAlignment="1">
      <alignment horizontal="center" vertical="center"/>
    </xf>
    <xf numFmtId="2" fontId="41" fillId="0" borderId="0" xfId="137" applyNumberFormat="1" applyFont="1" applyAlignment="1">
      <alignment horizontal="center" vertical="center"/>
    </xf>
    <xf numFmtId="2" fontId="41" fillId="0" borderId="0" xfId="0" applyNumberFormat="1" applyFont="1" applyAlignment="1">
      <alignment horizontal="center" vertical="center"/>
    </xf>
    <xf numFmtId="2" fontId="48" fillId="0" borderId="0" xfId="137" applyNumberFormat="1" applyFont="1" applyAlignment="1">
      <alignment horizontal="center" vertical="center"/>
    </xf>
    <xf numFmtId="0" fontId="41" fillId="0" borderId="0" xfId="137" applyFont="1" applyAlignment="1">
      <alignment horizontal="center" vertical="center"/>
    </xf>
    <xf numFmtId="0" fontId="48" fillId="0" borderId="0" xfId="137" applyFont="1" applyAlignment="1">
      <alignment horizontal="center" vertical="center"/>
    </xf>
    <xf numFmtId="2" fontId="39" fillId="0" borderId="0" xfId="137" applyNumberFormat="1" applyFont="1" applyAlignment="1">
      <alignment horizontal="center" vertical="center"/>
    </xf>
    <xf numFmtId="1" fontId="39" fillId="0" borderId="0" xfId="137" applyNumberFormat="1" applyFont="1" applyAlignment="1">
      <alignment horizontal="center" vertical="center"/>
    </xf>
    <xf numFmtId="166" fontId="0" fillId="0" borderId="0" xfId="0" applyNumberFormat="1"/>
    <xf numFmtId="0" fontId="49" fillId="0" borderId="0" xfId="3" applyFont="1" applyAlignment="1">
      <alignment horizontal="center" vertical="center"/>
    </xf>
    <xf numFmtId="0" fontId="49" fillId="0" borderId="0" xfId="3" applyFont="1" applyAlignment="1" applyProtection="1">
      <alignment horizontal="center" vertical="center"/>
      <protection locked="0"/>
    </xf>
    <xf numFmtId="0" fontId="50" fillId="0" borderId="15" xfId="3" applyFont="1" applyBorder="1" applyAlignment="1" applyProtection="1">
      <alignment horizontal="center"/>
      <protection locked="0"/>
    </xf>
    <xf numFmtId="0" fontId="2" fillId="0" borderId="14" xfId="3" applyFont="1" applyBorder="1" applyAlignment="1" applyProtection="1">
      <alignment horizontal="center"/>
      <protection locked="0"/>
    </xf>
    <xf numFmtId="0" fontId="2" fillId="0" borderId="69" xfId="3" applyFont="1" applyBorder="1" applyAlignment="1" applyProtection="1">
      <alignment horizontal="left"/>
      <protection locked="0"/>
    </xf>
    <xf numFmtId="0" fontId="2" fillId="0" borderId="48" xfId="3" applyFont="1" applyBorder="1" applyAlignment="1" applyProtection="1">
      <alignment horizontal="left"/>
      <protection locked="0"/>
    </xf>
    <xf numFmtId="0" fontId="1" fillId="0" borderId="14" xfId="3" applyBorder="1" applyAlignment="1" applyProtection="1">
      <alignment horizontal="center"/>
      <protection locked="0"/>
    </xf>
    <xf numFmtId="0" fontId="2" fillId="0" borderId="48" xfId="3" applyFont="1" applyBorder="1" applyAlignment="1" applyProtection="1">
      <alignment horizontal="center"/>
      <protection locked="0"/>
    </xf>
    <xf numFmtId="164" fontId="5" fillId="2" borderId="3" xfId="0" applyNumberFormat="1" applyFont="1" applyFill="1" applyBorder="1" applyAlignment="1">
      <alignment horizontal="center"/>
    </xf>
    <xf numFmtId="0" fontId="3" fillId="5" borderId="1" xfId="3" applyFont="1" applyFill="1" applyBorder="1" applyProtection="1">
      <protection locked="0"/>
    </xf>
    <xf numFmtId="0" fontId="2" fillId="0" borderId="50" xfId="3" applyFont="1" applyBorder="1" applyAlignment="1" applyProtection="1">
      <alignment horizontal="left"/>
      <protection locked="0"/>
    </xf>
    <xf numFmtId="0" fontId="2" fillId="0" borderId="69" xfId="3" applyFont="1" applyBorder="1" applyAlignment="1" applyProtection="1">
      <alignment horizontal="center" vertical="center"/>
      <protection locked="0"/>
    </xf>
    <xf numFmtId="0" fontId="44" fillId="0" borderId="0" xfId="3" applyFont="1" applyAlignment="1" applyProtection="1">
      <alignment horizontal="center" vertical="center"/>
      <protection locked="0"/>
    </xf>
    <xf numFmtId="0" fontId="3" fillId="40" borderId="3" xfId="3" applyFont="1" applyFill="1" applyBorder="1" applyAlignment="1" applyProtection="1">
      <alignment horizontal="center"/>
      <protection locked="0"/>
    </xf>
    <xf numFmtId="0" fontId="1" fillId="0" borderId="10" xfId="3" applyBorder="1" applyProtection="1">
      <protection locked="0"/>
    </xf>
    <xf numFmtId="0" fontId="49" fillId="0" borderId="10" xfId="3" applyFont="1" applyBorder="1" applyProtection="1">
      <protection locked="0"/>
    </xf>
    <xf numFmtId="9" fontId="3" fillId="0" borderId="2" xfId="3" applyNumberFormat="1" applyFont="1" applyBorder="1" applyAlignment="1">
      <alignment vertical="center"/>
    </xf>
    <xf numFmtId="0" fontId="3" fillId="39" borderId="15" xfId="3" applyFont="1" applyFill="1" applyBorder="1" applyAlignment="1" applyProtection="1">
      <alignment horizontal="center"/>
      <protection locked="0"/>
    </xf>
    <xf numFmtId="0" fontId="3" fillId="37" borderId="72" xfId="3" applyFont="1" applyFill="1" applyBorder="1" applyProtection="1">
      <protection locked="0"/>
    </xf>
    <xf numFmtId="0" fontId="3" fillId="37" borderId="7" xfId="3" applyFont="1" applyFill="1" applyBorder="1" applyProtection="1">
      <protection locked="0"/>
    </xf>
    <xf numFmtId="0" fontId="3" fillId="0" borderId="0" xfId="3" quotePrefix="1" applyFont="1" applyAlignment="1" applyProtection="1">
      <alignment vertical="center"/>
      <protection locked="0"/>
    </xf>
    <xf numFmtId="0" fontId="1" fillId="0" borderId="5" xfId="3" applyBorder="1" applyAlignment="1" applyProtection="1">
      <alignment vertical="top" wrapText="1"/>
      <protection locked="0"/>
    </xf>
    <xf numFmtId="0" fontId="1" fillId="0" borderId="6" xfId="3" applyBorder="1" applyAlignment="1" applyProtection="1">
      <alignment vertical="top" wrapText="1"/>
      <protection locked="0"/>
    </xf>
    <xf numFmtId="0" fontId="1" fillId="0" borderId="31" xfId="3" applyBorder="1" applyProtection="1">
      <protection locked="0"/>
    </xf>
    <xf numFmtId="0" fontId="1" fillId="0" borderId="31" xfId="3" applyBorder="1" applyAlignment="1" applyProtection="1">
      <alignment vertical="top" wrapText="1"/>
      <protection locked="0"/>
    </xf>
    <xf numFmtId="165" fontId="3" fillId="5" borderId="3" xfId="2" applyNumberFormat="1" applyFont="1" applyFill="1" applyBorder="1" applyProtection="1">
      <protection locked="0"/>
    </xf>
    <xf numFmtId="0" fontId="40" fillId="0" borderId="0" xfId="137" applyFont="1" applyAlignment="1">
      <alignment vertical="center" wrapText="1"/>
    </xf>
    <xf numFmtId="0" fontId="40" fillId="0" borderId="57" xfId="137" applyFont="1" applyBorder="1" applyAlignment="1">
      <alignment vertical="center"/>
    </xf>
    <xf numFmtId="0" fontId="40" fillId="0" borderId="57" xfId="137" applyFont="1" applyBorder="1" applyAlignment="1">
      <alignment vertical="center" wrapText="1"/>
    </xf>
    <xf numFmtId="0" fontId="36" fillId="0" borderId="57" xfId="137" applyFont="1" applyBorder="1" applyAlignment="1">
      <alignment vertical="center" wrapText="1"/>
    </xf>
    <xf numFmtId="166" fontId="41" fillId="0" borderId="18" xfId="0" applyNumberFormat="1" applyFont="1" applyBorder="1" applyAlignment="1">
      <alignment horizontal="center" vertical="center"/>
    </xf>
    <xf numFmtId="166" fontId="41" fillId="0" borderId="7" xfId="137" applyNumberFormat="1" applyFont="1" applyBorder="1" applyAlignment="1">
      <alignment horizontal="center" vertical="center"/>
    </xf>
    <xf numFmtId="2" fontId="41" fillId="0" borderId="18" xfId="137" applyNumberFormat="1" applyFont="1" applyBorder="1" applyAlignment="1">
      <alignment horizontal="center" vertical="center"/>
    </xf>
    <xf numFmtId="1" fontId="41" fillId="0" borderId="7" xfId="137" applyNumberFormat="1" applyFont="1" applyBorder="1" applyAlignment="1">
      <alignment horizontal="center" vertical="center"/>
    </xf>
    <xf numFmtId="1" fontId="41" fillId="0" borderId="18" xfId="137" applyNumberFormat="1" applyFont="1" applyBorder="1" applyAlignment="1">
      <alignment horizontal="center" vertical="center"/>
    </xf>
    <xf numFmtId="1" fontId="41" fillId="0" borderId="19" xfId="137" applyNumberFormat="1" applyFont="1" applyBorder="1" applyAlignment="1">
      <alignment horizontal="center" vertical="center"/>
    </xf>
    <xf numFmtId="1" fontId="41" fillId="0" borderId="57" xfId="137" applyNumberFormat="1" applyFont="1" applyBorder="1" applyAlignment="1">
      <alignment horizontal="center" vertical="center"/>
    </xf>
    <xf numFmtId="0" fontId="41" fillId="0" borderId="57" xfId="137" applyFont="1" applyBorder="1" applyAlignment="1">
      <alignment horizontal="center" vertical="center"/>
    </xf>
    <xf numFmtId="2" fontId="41" fillId="0" borderId="57" xfId="137" applyNumberFormat="1" applyFont="1" applyBorder="1" applyAlignment="1">
      <alignment horizontal="center" vertical="center"/>
    </xf>
    <xf numFmtId="2" fontId="41" fillId="0" borderId="7" xfId="137" applyNumberFormat="1" applyFont="1" applyBorder="1" applyAlignment="1">
      <alignment horizontal="center" vertical="center"/>
    </xf>
    <xf numFmtId="2" fontId="41" fillId="0" borderId="19" xfId="137" applyNumberFormat="1" applyFont="1" applyBorder="1" applyAlignment="1">
      <alignment horizontal="center" vertical="center"/>
    </xf>
    <xf numFmtId="1" fontId="41" fillId="0" borderId="18" xfId="0" applyNumberFormat="1" applyFont="1" applyBorder="1" applyAlignment="1">
      <alignment horizontal="center" vertical="center"/>
    </xf>
    <xf numFmtId="1" fontId="41" fillId="0" borderId="57" xfId="0" applyNumberFormat="1" applyFont="1" applyBorder="1" applyAlignment="1">
      <alignment horizontal="center" vertical="center"/>
    </xf>
    <xf numFmtId="0" fontId="38" fillId="0" borderId="17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166" fontId="0" fillId="0" borderId="18" xfId="0" applyNumberFormat="1" applyBorder="1" applyAlignment="1">
      <alignment horizontal="center" vertical="center"/>
    </xf>
    <xf numFmtId="166" fontId="0" fillId="0" borderId="19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0" fontId="40" fillId="5" borderId="57" xfId="137" applyFont="1" applyFill="1" applyBorder="1" applyAlignment="1">
      <alignment vertical="center" wrapText="1"/>
    </xf>
    <xf numFmtId="0" fontId="41" fillId="5" borderId="57" xfId="0" applyFont="1" applyFill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1" fontId="41" fillId="5" borderId="7" xfId="137" applyNumberFormat="1" applyFont="1" applyFill="1" applyBorder="1" applyAlignment="1">
      <alignment horizontal="center" vertical="center"/>
    </xf>
    <xf numFmtId="166" fontId="39" fillId="0" borderId="18" xfId="0" applyNumberFormat="1" applyFont="1" applyBorder="1" applyAlignment="1">
      <alignment horizontal="center" vertical="center"/>
    </xf>
    <xf numFmtId="166" fontId="39" fillId="0" borderId="65" xfId="0" applyNumberFormat="1" applyFont="1" applyBorder="1" applyAlignment="1">
      <alignment horizontal="center" vertical="center"/>
    </xf>
    <xf numFmtId="1" fontId="41" fillId="0" borderId="65" xfId="137" applyNumberFormat="1" applyFon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2" fontId="39" fillId="0" borderId="18" xfId="137" applyNumberFormat="1" applyFont="1" applyBorder="1" applyAlignment="1">
      <alignment horizontal="center" vertical="center"/>
    </xf>
    <xf numFmtId="2" fontId="39" fillId="0" borderId="65" xfId="137" applyNumberFormat="1" applyFon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1" fontId="39" fillId="0" borderId="18" xfId="137" applyNumberFormat="1" applyFont="1" applyBorder="1" applyAlignment="1">
      <alignment horizontal="center" vertical="center"/>
    </xf>
    <xf numFmtId="1" fontId="39" fillId="0" borderId="65" xfId="137" applyNumberFormat="1" applyFont="1" applyBorder="1" applyAlignment="1">
      <alignment horizontal="center" vertical="center"/>
    </xf>
    <xf numFmtId="2" fontId="41" fillId="0" borderId="65" xfId="137" applyNumberFormat="1" applyFont="1" applyBorder="1" applyAlignment="1">
      <alignment horizontal="center" vertical="center"/>
    </xf>
    <xf numFmtId="1" fontId="41" fillId="0" borderId="20" xfId="137" applyNumberFormat="1" applyFont="1" applyBorder="1" applyAlignment="1">
      <alignment horizontal="center" vertical="center"/>
    </xf>
    <xf numFmtId="1" fontId="41" fillId="0" borderId="66" xfId="137" applyNumberFormat="1" applyFont="1" applyBorder="1" applyAlignment="1">
      <alignment horizontal="center" vertical="center"/>
    </xf>
    <xf numFmtId="1" fontId="41" fillId="0" borderId="8" xfId="137" applyNumberFormat="1" applyFont="1" applyBorder="1" applyAlignment="1">
      <alignment horizontal="center" vertical="center"/>
    </xf>
    <xf numFmtId="166" fontId="39" fillId="0" borderId="57" xfId="0" applyNumberFormat="1" applyFont="1" applyBorder="1" applyAlignment="1">
      <alignment horizontal="center" vertical="center"/>
    </xf>
    <xf numFmtId="2" fontId="41" fillId="0" borderId="31" xfId="137" applyNumberFormat="1" applyFont="1" applyBorder="1" applyAlignment="1">
      <alignment horizontal="center" vertical="center"/>
    </xf>
    <xf numFmtId="2" fontId="39" fillId="0" borderId="57" xfId="0" applyNumberFormat="1" applyFont="1" applyBorder="1" applyAlignment="1">
      <alignment horizontal="center" vertical="center"/>
    </xf>
    <xf numFmtId="2" fontId="39" fillId="0" borderId="18" xfId="0" applyNumberFormat="1" applyFont="1" applyBorder="1" applyAlignment="1">
      <alignment horizontal="center" vertical="center"/>
    </xf>
    <xf numFmtId="2" fontId="39" fillId="0" borderId="65" xfId="0" applyNumberFormat="1" applyFont="1" applyBorder="1" applyAlignment="1">
      <alignment horizontal="center" vertical="center"/>
    </xf>
    <xf numFmtId="1" fontId="41" fillId="0" borderId="31" xfId="137" applyNumberFormat="1" applyFont="1" applyBorder="1" applyAlignment="1">
      <alignment horizontal="center" vertical="center"/>
    </xf>
    <xf numFmtId="0" fontId="41" fillId="37" borderId="31" xfId="0" applyFont="1" applyFill="1" applyBorder="1" applyAlignment="1">
      <alignment horizontal="center" vertical="center"/>
    </xf>
    <xf numFmtId="1" fontId="41" fillId="0" borderId="32" xfId="137" applyNumberFormat="1" applyFont="1" applyBorder="1" applyAlignment="1">
      <alignment horizontal="center" vertical="center"/>
    </xf>
    <xf numFmtId="0" fontId="42" fillId="0" borderId="16" xfId="0" applyFont="1" applyBorder="1" applyAlignment="1">
      <alignment horizontal="center" vertical="center"/>
    </xf>
    <xf numFmtId="0" fontId="38" fillId="0" borderId="52" xfId="0" applyFont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1" fontId="0" fillId="0" borderId="57" xfId="0" applyNumberFormat="1" applyBorder="1" applyAlignment="1">
      <alignment horizontal="center" vertical="center"/>
    </xf>
    <xf numFmtId="0" fontId="43" fillId="0" borderId="18" xfId="0" applyFont="1" applyBorder="1" applyAlignment="1">
      <alignment horizontal="center" vertical="center"/>
    </xf>
    <xf numFmtId="0" fontId="43" fillId="0" borderId="64" xfId="0" applyFont="1" applyBorder="1" applyAlignment="1">
      <alignment horizontal="center" vertical="center"/>
    </xf>
    <xf numFmtId="0" fontId="43" fillId="0" borderId="19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43" fillId="0" borderId="25" xfId="0" applyFont="1" applyBorder="1" applyAlignment="1">
      <alignment horizontal="center" vertical="center"/>
    </xf>
    <xf numFmtId="0" fontId="43" fillId="0" borderId="65" xfId="0" applyFont="1" applyBorder="1" applyAlignment="1">
      <alignment horizontal="center" vertical="center"/>
    </xf>
    <xf numFmtId="1" fontId="41" fillId="5" borderId="18" xfId="137" applyNumberFormat="1" applyFont="1" applyFill="1" applyBorder="1" applyAlignment="1">
      <alignment horizontal="center" vertical="center"/>
    </xf>
    <xf numFmtId="1" fontId="41" fillId="5" borderId="19" xfId="137" applyNumberFormat="1" applyFont="1" applyFill="1" applyBorder="1" applyAlignment="1">
      <alignment horizontal="center" vertical="center"/>
    </xf>
    <xf numFmtId="1" fontId="0" fillId="5" borderId="19" xfId="0" applyNumberFormat="1" applyFill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39" fillId="0" borderId="22" xfId="0" applyNumberFormat="1" applyFont="1" applyBorder="1" applyAlignment="1">
      <alignment horizontal="center" vertical="center"/>
    </xf>
    <xf numFmtId="1" fontId="41" fillId="5" borderId="55" xfId="0" applyNumberFormat="1" applyFont="1" applyFill="1" applyBorder="1" applyAlignment="1">
      <alignment horizontal="center" vertical="center"/>
    </xf>
    <xf numFmtId="1" fontId="41" fillId="37" borderId="31" xfId="0" applyNumberFormat="1" applyFont="1" applyFill="1" applyBorder="1" applyAlignment="1">
      <alignment horizontal="center" vertical="center"/>
    </xf>
    <xf numFmtId="1" fontId="41" fillId="37" borderId="57" xfId="0" applyNumberFormat="1" applyFont="1" applyFill="1" applyBorder="1" applyAlignment="1">
      <alignment horizontal="center" vertical="center"/>
    </xf>
    <xf numFmtId="0" fontId="41" fillId="0" borderId="19" xfId="137" applyFont="1" applyBorder="1" applyAlignment="1">
      <alignment horizontal="center" vertical="center"/>
    </xf>
    <xf numFmtId="1" fontId="41" fillId="0" borderId="21" xfId="137" applyNumberFormat="1" applyFont="1" applyBorder="1" applyAlignment="1">
      <alignment horizontal="center" vertical="center"/>
    </xf>
    <xf numFmtId="0" fontId="41" fillId="5" borderId="19" xfId="0" applyFont="1" applyFill="1" applyBorder="1" applyAlignment="1">
      <alignment horizontal="center" vertical="center"/>
    </xf>
    <xf numFmtId="1" fontId="41" fillId="0" borderId="24" xfId="137" applyNumberFormat="1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1" fontId="41" fillId="5" borderId="31" xfId="137" applyNumberFormat="1" applyFont="1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" fontId="39" fillId="0" borderId="18" xfId="0" applyNumberFormat="1" applyFont="1" applyBorder="1" applyAlignment="1">
      <alignment horizontal="center" vertical="center"/>
    </xf>
    <xf numFmtId="0" fontId="40" fillId="43" borderId="57" xfId="137" applyFont="1" applyFill="1" applyBorder="1" applyAlignment="1">
      <alignment vertical="center"/>
    </xf>
    <xf numFmtId="0" fontId="36" fillId="43" borderId="57" xfId="137" applyFont="1" applyFill="1" applyBorder="1" applyAlignment="1">
      <alignment vertical="center" wrapText="1"/>
    </xf>
    <xf numFmtId="0" fontId="40" fillId="43" borderId="57" xfId="137" applyFont="1" applyFill="1" applyBorder="1" applyAlignment="1">
      <alignment vertical="center" wrapText="1"/>
    </xf>
    <xf numFmtId="1" fontId="39" fillId="0" borderId="57" xfId="0" applyNumberFormat="1" applyFont="1" applyBorder="1" applyAlignment="1">
      <alignment horizontal="center" vertical="center"/>
    </xf>
    <xf numFmtId="1" fontId="39" fillId="0" borderId="65" xfId="0" applyNumberFormat="1" applyFont="1" applyBorder="1" applyAlignment="1">
      <alignment horizontal="center" vertical="center"/>
    </xf>
    <xf numFmtId="0" fontId="41" fillId="0" borderId="31" xfId="137" applyFont="1" applyBorder="1" applyAlignment="1">
      <alignment horizontal="center" vertical="center"/>
    </xf>
    <xf numFmtId="166" fontId="41" fillId="0" borderId="31" xfId="137" applyNumberFormat="1" applyFont="1" applyBorder="1" applyAlignment="1">
      <alignment horizontal="center" vertical="center"/>
    </xf>
    <xf numFmtId="0" fontId="41" fillId="37" borderId="57" xfId="0" applyFont="1" applyFill="1" applyBorder="1" applyAlignment="1">
      <alignment horizontal="center" vertical="center"/>
    </xf>
    <xf numFmtId="1" fontId="41" fillId="5" borderId="28" xfId="0" applyNumberFormat="1" applyFont="1" applyFill="1" applyBorder="1" applyAlignment="1">
      <alignment horizontal="center" vertical="center"/>
    </xf>
    <xf numFmtId="1" fontId="41" fillId="5" borderId="62" xfId="0" applyNumberFormat="1" applyFont="1" applyFill="1" applyBorder="1" applyAlignment="1">
      <alignment horizontal="center" vertical="center"/>
    </xf>
    <xf numFmtId="1" fontId="41" fillId="5" borderId="55" xfId="137" applyNumberFormat="1" applyFont="1" applyFill="1" applyBorder="1" applyAlignment="1">
      <alignment horizontal="center" vertical="center"/>
    </xf>
    <xf numFmtId="2" fontId="41" fillId="0" borderId="57" xfId="0" applyNumberFormat="1" applyFont="1" applyBorder="1" applyAlignment="1">
      <alignment horizontal="center" vertical="center"/>
    </xf>
    <xf numFmtId="1" fontId="41" fillId="0" borderId="22" xfId="0" applyNumberFormat="1" applyFont="1" applyBorder="1" applyAlignment="1">
      <alignment horizontal="center" vertical="center"/>
    </xf>
    <xf numFmtId="2" fontId="39" fillId="0" borderId="57" xfId="137" applyNumberFormat="1" applyFont="1" applyBorder="1" applyAlignment="1">
      <alignment horizontal="center" vertical="center"/>
    </xf>
    <xf numFmtId="2" fontId="39" fillId="0" borderId="19" xfId="0" applyNumberFormat="1" applyFont="1" applyBorder="1" applyAlignment="1">
      <alignment horizontal="center" vertical="center"/>
    </xf>
    <xf numFmtId="1" fontId="0" fillId="0" borderId="65" xfId="0" applyNumberFormat="1" applyBorder="1" applyAlignment="1">
      <alignment horizontal="center" vertical="center"/>
    </xf>
    <xf numFmtId="0" fontId="36" fillId="5" borderId="57" xfId="137" applyFont="1" applyFill="1" applyBorder="1" applyAlignment="1">
      <alignment vertical="center" wrapText="1"/>
    </xf>
    <xf numFmtId="20" fontId="0" fillId="5" borderId="19" xfId="0" applyNumberFormat="1" applyFill="1" applyBorder="1" applyAlignment="1">
      <alignment horizontal="center" vertical="center"/>
    </xf>
    <xf numFmtId="20" fontId="0" fillId="5" borderId="31" xfId="0" applyNumberFormat="1" applyFill="1" applyBorder="1" applyAlignment="1">
      <alignment horizontal="center" vertical="center"/>
    </xf>
    <xf numFmtId="20" fontId="0" fillId="5" borderId="57" xfId="0" applyNumberFormat="1" applyFill="1" applyBorder="1" applyAlignment="1">
      <alignment horizontal="center" vertical="center"/>
    </xf>
    <xf numFmtId="0" fontId="41" fillId="5" borderId="31" xfId="0" applyFont="1" applyFill="1" applyBorder="1" applyAlignment="1">
      <alignment horizontal="center" vertical="center"/>
    </xf>
    <xf numFmtId="1" fontId="41" fillId="5" borderId="57" xfId="137" applyNumberFormat="1" applyFont="1" applyFill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1" fontId="46" fillId="0" borderId="19" xfId="0" applyNumberFormat="1" applyFont="1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1" fontId="46" fillId="0" borderId="18" xfId="0" applyNumberFormat="1" applyFont="1" applyBorder="1" applyAlignment="1">
      <alignment horizontal="center" vertical="center"/>
    </xf>
    <xf numFmtId="0" fontId="42" fillId="0" borderId="6" xfId="0" applyFont="1" applyBorder="1" applyAlignment="1">
      <alignment horizontal="center" vertical="center"/>
    </xf>
    <xf numFmtId="0" fontId="38" fillId="0" borderId="16" xfId="0" applyFont="1" applyBorder="1" applyAlignment="1">
      <alignment horizontal="center" vertical="center"/>
    </xf>
    <xf numFmtId="0" fontId="38" fillId="0" borderId="67" xfId="0" applyFont="1" applyBorder="1" applyAlignment="1">
      <alignment horizontal="center" vertical="center"/>
    </xf>
    <xf numFmtId="1" fontId="41" fillId="0" borderId="61" xfId="137" applyNumberFormat="1" applyFont="1" applyBorder="1" applyAlignment="1">
      <alignment horizontal="center" vertical="center"/>
    </xf>
    <xf numFmtId="0" fontId="3" fillId="40" borderId="3" xfId="2" applyNumberFormat="1" applyFont="1" applyFill="1" applyBorder="1" applyAlignment="1">
      <alignment horizontal="center" vertical="center"/>
    </xf>
    <xf numFmtId="0" fontId="47" fillId="0" borderId="57" xfId="0" applyFont="1" applyBorder="1" applyAlignment="1">
      <alignment horizontal="center" vertical="center"/>
    </xf>
    <xf numFmtId="0" fontId="47" fillId="0" borderId="7" xfId="0" applyFont="1" applyBorder="1" applyAlignment="1">
      <alignment horizontal="center" vertical="center"/>
    </xf>
    <xf numFmtId="0" fontId="47" fillId="0" borderId="19" xfId="0" applyFont="1" applyBorder="1" applyAlignment="1">
      <alignment horizontal="center" vertical="center"/>
    </xf>
    <xf numFmtId="0" fontId="41" fillId="0" borderId="7" xfId="137" applyFont="1" applyBorder="1" applyAlignment="1">
      <alignment horizontal="center" vertical="center"/>
    </xf>
    <xf numFmtId="0" fontId="38" fillId="0" borderId="19" xfId="0" applyFont="1" applyBorder="1" applyAlignment="1">
      <alignment horizontal="center" vertical="center"/>
    </xf>
    <xf numFmtId="0" fontId="41" fillId="5" borderId="7" xfId="137" applyFont="1" applyFill="1" applyBorder="1" applyAlignment="1">
      <alignment horizontal="center" vertical="center"/>
    </xf>
    <xf numFmtId="166" fontId="41" fillId="0" borderId="19" xfId="137" applyNumberFormat="1" applyFont="1" applyBorder="1" applyAlignment="1">
      <alignment horizontal="center" vertical="center"/>
    </xf>
    <xf numFmtId="0" fontId="41" fillId="5" borderId="19" xfId="137" applyFont="1" applyFill="1" applyBorder="1" applyAlignment="1">
      <alignment horizontal="center" vertical="center"/>
    </xf>
    <xf numFmtId="2" fontId="41" fillId="0" borderId="62" xfId="137" applyNumberFormat="1" applyFont="1" applyBorder="1" applyAlignment="1">
      <alignment horizontal="center" vertical="center"/>
    </xf>
    <xf numFmtId="0" fontId="39" fillId="5" borderId="19" xfId="0" applyFont="1" applyFill="1" applyBorder="1" applyAlignment="1">
      <alignment horizontal="center" vertical="center"/>
    </xf>
    <xf numFmtId="0" fontId="41" fillId="5" borderId="57" xfId="137" applyFont="1" applyFill="1" applyBorder="1" applyAlignment="1">
      <alignment horizontal="center" vertical="center"/>
    </xf>
    <xf numFmtId="2" fontId="41" fillId="0" borderId="28" xfId="137" applyNumberFormat="1" applyFont="1" applyBorder="1" applyAlignment="1">
      <alignment horizontal="center" vertical="center"/>
    </xf>
    <xf numFmtId="0" fontId="40" fillId="0" borderId="19" xfId="137" applyFont="1" applyBorder="1" applyAlignment="1">
      <alignment vertical="center" wrapText="1"/>
    </xf>
    <xf numFmtId="2" fontId="41" fillId="0" borderId="55" xfId="137" applyNumberFormat="1" applyFont="1" applyBorder="1" applyAlignment="1">
      <alignment horizontal="center" vertical="center"/>
    </xf>
    <xf numFmtId="0" fontId="39" fillId="5" borderId="31" xfId="0" applyFont="1" applyFill="1" applyBorder="1" applyAlignment="1">
      <alignment horizontal="center" vertical="center"/>
    </xf>
    <xf numFmtId="0" fontId="0" fillId="5" borderId="55" xfId="0" applyFill="1" applyBorder="1" applyAlignment="1">
      <alignment horizontal="center" vertical="center"/>
    </xf>
    <xf numFmtId="0" fontId="41" fillId="5" borderId="31" xfId="137" applyFont="1" applyFill="1" applyBorder="1" applyAlignment="1">
      <alignment horizontal="center" vertical="center"/>
    </xf>
    <xf numFmtId="20" fontId="0" fillId="5" borderId="28" xfId="0" applyNumberFormat="1" applyFill="1" applyBorder="1" applyAlignment="1">
      <alignment horizontal="center" vertical="center"/>
    </xf>
    <xf numFmtId="0" fontId="38" fillId="0" borderId="57" xfId="0" applyFont="1" applyBorder="1" applyAlignment="1">
      <alignment horizontal="center" vertical="center"/>
    </xf>
    <xf numFmtId="166" fontId="41" fillId="0" borderId="57" xfId="137" applyNumberFormat="1" applyFont="1" applyBorder="1" applyAlignment="1">
      <alignment horizontal="center" vertical="center"/>
    </xf>
    <xf numFmtId="0" fontId="39" fillId="5" borderId="57" xfId="0" applyFont="1" applyFill="1" applyBorder="1" applyAlignment="1">
      <alignment horizontal="center" vertical="center"/>
    </xf>
    <xf numFmtId="20" fontId="0" fillId="5" borderId="55" xfId="0" applyNumberFormat="1" applyFill="1" applyBorder="1" applyAlignment="1">
      <alignment horizontal="center" vertical="center"/>
    </xf>
    <xf numFmtId="9" fontId="3" fillId="4" borderId="1" xfId="3" applyNumberFormat="1" applyFont="1" applyFill="1" applyBorder="1" applyAlignment="1">
      <alignment horizontal="center" vertical="center"/>
    </xf>
    <xf numFmtId="9" fontId="3" fillId="4" borderId="15" xfId="3" applyNumberFormat="1" applyFont="1" applyFill="1" applyBorder="1" applyAlignment="1">
      <alignment horizontal="center" vertical="center"/>
    </xf>
    <xf numFmtId="0" fontId="42" fillId="0" borderId="18" xfId="0" applyFont="1" applyBorder="1" applyAlignment="1">
      <alignment horizontal="center" vertical="center"/>
    </xf>
    <xf numFmtId="0" fontId="38" fillId="0" borderId="18" xfId="0" applyFont="1" applyBorder="1" applyAlignment="1">
      <alignment horizontal="center" vertical="center"/>
    </xf>
    <xf numFmtId="1" fontId="0" fillId="47" borderId="18" xfId="0" applyNumberFormat="1" applyFill="1" applyBorder="1" applyAlignment="1">
      <alignment horizontal="center" vertical="center"/>
    </xf>
    <xf numFmtId="0" fontId="43" fillId="47" borderId="18" xfId="0" applyFont="1" applyFill="1" applyBorder="1" applyAlignment="1">
      <alignment horizontal="center" vertical="center"/>
    </xf>
    <xf numFmtId="166" fontId="0" fillId="47" borderId="18" xfId="0" applyNumberFormat="1" applyFill="1" applyBorder="1" applyAlignment="1">
      <alignment horizontal="center" vertical="center"/>
    </xf>
    <xf numFmtId="2" fontId="41" fillId="0" borderId="18" xfId="0" applyNumberFormat="1" applyFont="1" applyBorder="1" applyAlignment="1">
      <alignment horizontal="center" vertical="center"/>
    </xf>
    <xf numFmtId="2" fontId="0" fillId="47" borderId="18" xfId="0" applyNumberFormat="1" applyFill="1" applyBorder="1" applyAlignment="1">
      <alignment horizontal="center" vertical="center"/>
    </xf>
    <xf numFmtId="0" fontId="42" fillId="47" borderId="18" xfId="0" applyFont="1" applyFill="1" applyBorder="1" applyAlignment="1">
      <alignment horizontal="center" vertical="center"/>
    </xf>
    <xf numFmtId="1" fontId="41" fillId="47" borderId="18" xfId="137" applyNumberFormat="1" applyFont="1" applyFill="1" applyBorder="1" applyAlignment="1">
      <alignment horizontal="center" vertical="center"/>
    </xf>
    <xf numFmtId="20" fontId="0" fillId="0" borderId="18" xfId="0" applyNumberFormat="1" applyBorder="1" applyAlignment="1">
      <alignment horizontal="center" vertical="center"/>
    </xf>
    <xf numFmtId="20" fontId="0" fillId="47" borderId="18" xfId="0" applyNumberFormat="1" applyFill="1" applyBorder="1" applyAlignment="1">
      <alignment horizontal="center" vertical="center"/>
    </xf>
    <xf numFmtId="0" fontId="4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41" fillId="0" borderId="18" xfId="137" applyFont="1" applyBorder="1" applyAlignment="1">
      <alignment horizontal="center" vertical="center"/>
    </xf>
    <xf numFmtId="2" fontId="39" fillId="47" borderId="18" xfId="137" applyNumberFormat="1" applyFont="1" applyFill="1" applyBorder="1" applyAlignment="1">
      <alignment horizontal="center" vertical="center"/>
    </xf>
    <xf numFmtId="1" fontId="39" fillId="47" borderId="18" xfId="137" applyNumberFormat="1" applyFont="1" applyFill="1" applyBorder="1" applyAlignment="1">
      <alignment horizontal="center" vertical="center"/>
    </xf>
    <xf numFmtId="2" fontId="41" fillId="47" borderId="18" xfId="137" applyNumberFormat="1" applyFont="1" applyFill="1" applyBorder="1" applyAlignment="1">
      <alignment horizontal="center" vertical="center"/>
    </xf>
    <xf numFmtId="0" fontId="38" fillId="47" borderId="18" xfId="0" applyFont="1" applyFill="1" applyBorder="1" applyAlignment="1">
      <alignment horizontal="center" vertical="center"/>
    </xf>
    <xf numFmtId="0" fontId="0" fillId="47" borderId="18" xfId="0" applyFill="1" applyBorder="1" applyAlignment="1">
      <alignment horizontal="center" vertical="center"/>
    </xf>
    <xf numFmtId="1" fontId="41" fillId="47" borderId="18" xfId="0" applyNumberFormat="1" applyFont="1" applyFill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 wrapText="1"/>
    </xf>
    <xf numFmtId="2" fontId="41" fillId="0" borderId="18" xfId="137" applyNumberFormat="1" applyFont="1" applyBorder="1" applyAlignment="1">
      <alignment horizontal="center" vertical="center" wrapText="1"/>
    </xf>
    <xf numFmtId="1" fontId="41" fillId="0" borderId="18" xfId="137" applyNumberFormat="1" applyFont="1" applyBorder="1" applyAlignment="1">
      <alignment horizontal="center" vertical="center" wrapText="1"/>
    </xf>
    <xf numFmtId="0" fontId="24" fillId="0" borderId="44" xfId="0" applyFont="1" applyBorder="1"/>
    <xf numFmtId="0" fontId="0" fillId="0" borderId="44" xfId="0" applyBorder="1"/>
    <xf numFmtId="0" fontId="24" fillId="0" borderId="44" xfId="0" applyFont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77" xfId="0" applyBorder="1"/>
    <xf numFmtId="0" fontId="0" fillId="0" borderId="23" xfId="0" applyBorder="1"/>
    <xf numFmtId="0" fontId="0" fillId="0" borderId="0" xfId="0" applyAlignment="1">
      <alignment vertical="center" wrapText="1"/>
    </xf>
    <xf numFmtId="0" fontId="0" fillId="0" borderId="18" xfId="0" applyBorder="1" applyAlignment="1">
      <alignment horizontal="center"/>
    </xf>
    <xf numFmtId="0" fontId="24" fillId="48" borderId="44" xfId="0" applyFont="1" applyFill="1" applyBorder="1" applyAlignment="1">
      <alignment horizontal="center"/>
    </xf>
    <xf numFmtId="0" fontId="8" fillId="0" borderId="18" xfId="0" applyFont="1" applyBorder="1" applyAlignment="1">
      <alignment horizontal="center" vertical="center"/>
    </xf>
    <xf numFmtId="0" fontId="42" fillId="0" borderId="64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0" fillId="0" borderId="45" xfId="0" applyBorder="1"/>
    <xf numFmtId="0" fontId="0" fillId="0" borderId="30" xfId="0" applyBorder="1"/>
    <xf numFmtId="9" fontId="8" fillId="0" borderId="18" xfId="2" applyFont="1" applyFill="1" applyBorder="1" applyAlignment="1">
      <alignment horizontal="center" vertical="center"/>
    </xf>
    <xf numFmtId="1" fontId="46" fillId="0" borderId="7" xfId="0" applyNumberFormat="1" applyFont="1" applyBorder="1" applyAlignment="1">
      <alignment horizontal="center" vertical="center"/>
    </xf>
    <xf numFmtId="2" fontId="41" fillId="0" borderId="7" xfId="0" applyNumberFormat="1" applyFont="1" applyBorder="1" applyAlignment="1">
      <alignment horizontal="center" vertical="center"/>
    </xf>
    <xf numFmtId="1" fontId="39" fillId="0" borderId="7" xfId="0" applyNumberFormat="1" applyFont="1" applyBorder="1" applyAlignment="1">
      <alignment horizontal="center" vertical="center"/>
    </xf>
    <xf numFmtId="20" fontId="0" fillId="0" borderId="19" xfId="0" applyNumberFormat="1" applyBorder="1" applyAlignment="1">
      <alignment horizontal="center" vertical="center"/>
    </xf>
    <xf numFmtId="20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" fontId="41" fillId="0" borderId="7" xfId="0" applyNumberFormat="1" applyFont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42" fillId="0" borderId="29" xfId="0" applyFont="1" applyBorder="1" applyAlignment="1">
      <alignment horizontal="center" vertical="center"/>
    </xf>
    <xf numFmtId="0" fontId="38" fillId="0" borderId="29" xfId="0" applyFon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0" fontId="43" fillId="0" borderId="29" xfId="0" applyFont="1" applyBorder="1" applyAlignment="1">
      <alignment horizontal="center" vertical="center"/>
    </xf>
    <xf numFmtId="1" fontId="0" fillId="47" borderId="29" xfId="0" applyNumberFormat="1" applyFill="1" applyBorder="1" applyAlignment="1">
      <alignment horizontal="center" vertical="center"/>
    </xf>
    <xf numFmtId="0" fontId="38" fillId="47" borderId="29" xfId="0" applyFont="1" applyFill="1" applyBorder="1" applyAlignment="1">
      <alignment horizontal="center" vertical="center"/>
    </xf>
    <xf numFmtId="0" fontId="43" fillId="47" borderId="29" xfId="0" applyFont="1" applyFill="1" applyBorder="1" applyAlignment="1">
      <alignment horizontal="center" vertical="center"/>
    </xf>
    <xf numFmtId="0" fontId="40" fillId="0" borderId="18" xfId="137" applyFont="1" applyBorder="1" applyAlignment="1">
      <alignment vertical="center"/>
    </xf>
    <xf numFmtId="0" fontId="43" fillId="5" borderId="18" xfId="0" applyFont="1" applyFill="1" applyBorder="1" applyAlignment="1">
      <alignment horizontal="center" vertical="center"/>
    </xf>
    <xf numFmtId="2" fontId="0" fillId="49" borderId="18" xfId="0" applyNumberFormat="1" applyFill="1" applyBorder="1" applyAlignment="1">
      <alignment horizontal="center" vertical="center"/>
    </xf>
    <xf numFmtId="0" fontId="40" fillId="0" borderId="18" xfId="137" applyFont="1" applyBorder="1" applyAlignment="1">
      <alignment vertical="center" wrapText="1"/>
    </xf>
    <xf numFmtId="0" fontId="36" fillId="0" borderId="18" xfId="137" applyFont="1" applyBorder="1" applyAlignment="1">
      <alignment vertical="center" wrapText="1"/>
    </xf>
    <xf numFmtId="2" fontId="0" fillId="0" borderId="18" xfId="0" applyNumberForma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2" fontId="0" fillId="47" borderId="18" xfId="0" applyNumberFormat="1" applyFill="1" applyBorder="1" applyAlignment="1">
      <alignment horizontal="center"/>
    </xf>
    <xf numFmtId="1" fontId="0" fillId="47" borderId="18" xfId="0" applyNumberFormat="1" applyFill="1" applyBorder="1" applyAlignment="1">
      <alignment horizontal="center"/>
    </xf>
    <xf numFmtId="2" fontId="42" fillId="0" borderId="18" xfId="0" applyNumberFormat="1" applyFont="1" applyBorder="1" applyAlignment="1">
      <alignment horizontal="center" vertical="center"/>
    </xf>
    <xf numFmtId="2" fontId="42" fillId="47" borderId="18" xfId="0" applyNumberFormat="1" applyFont="1" applyFill="1" applyBorder="1" applyAlignment="1">
      <alignment horizontal="center" vertical="center"/>
    </xf>
    <xf numFmtId="0" fontId="3" fillId="39" borderId="2" xfId="3" applyFont="1" applyFill="1" applyBorder="1" applyAlignment="1">
      <alignment horizontal="center" vertical="center"/>
    </xf>
    <xf numFmtId="1" fontId="3" fillId="40" borderId="2" xfId="3" applyNumberFormat="1" applyFont="1" applyFill="1" applyBorder="1" applyAlignment="1">
      <alignment horizontal="center" vertical="center"/>
    </xf>
    <xf numFmtId="166" fontId="3" fillId="40" borderId="15" xfId="3" applyNumberFormat="1" applyFont="1" applyFill="1" applyBorder="1" applyAlignment="1" applyProtection="1">
      <alignment horizontal="center" vertical="center"/>
      <protection locked="0"/>
    </xf>
    <xf numFmtId="1" fontId="39" fillId="0" borderId="19" xfId="0" applyNumberFormat="1" applyFont="1" applyBorder="1" applyAlignment="1">
      <alignment horizontal="center" vertical="center"/>
    </xf>
    <xf numFmtId="0" fontId="41" fillId="0" borderId="7" xfId="0" applyFont="1" applyBorder="1" applyAlignment="1">
      <alignment horizontal="center" vertical="center"/>
    </xf>
    <xf numFmtId="0" fontId="41" fillId="0" borderId="19" xfId="0" applyFont="1" applyBorder="1" applyAlignment="1">
      <alignment horizontal="center" vertical="center"/>
    </xf>
    <xf numFmtId="1" fontId="41" fillId="0" borderId="19" xfId="0" applyNumberFormat="1" applyFon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56" fillId="0" borderId="0" xfId="0" applyFont="1"/>
    <xf numFmtId="0" fontId="8" fillId="4" borderId="18" xfId="0" applyFont="1" applyFill="1" applyBorder="1"/>
    <xf numFmtId="0" fontId="42" fillId="0" borderId="47" xfId="0" applyFont="1" applyBorder="1" applyAlignment="1">
      <alignment horizontal="center" vertical="center"/>
    </xf>
    <xf numFmtId="0" fontId="42" fillId="0" borderId="79" xfId="0" applyFont="1" applyBorder="1" applyAlignment="1">
      <alignment horizontal="center" vertical="center"/>
    </xf>
    <xf numFmtId="0" fontId="38" fillId="0" borderId="79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43" fillId="0" borderId="6" xfId="0" applyFont="1" applyBorder="1" applyAlignment="1">
      <alignment horizontal="center" vertical="center"/>
    </xf>
    <xf numFmtId="1" fontId="0" fillId="0" borderId="79" xfId="0" applyNumberFormat="1" applyBorder="1" applyAlignment="1">
      <alignment horizontal="center" vertical="center"/>
    </xf>
    <xf numFmtId="1" fontId="0" fillId="0" borderId="67" xfId="0" applyNumberFormat="1" applyBorder="1" applyAlignment="1">
      <alignment horizontal="center" vertical="center"/>
    </xf>
    <xf numFmtId="0" fontId="43" fillId="0" borderId="79" xfId="0" applyFont="1" applyBorder="1" applyAlignment="1">
      <alignment horizontal="center" vertical="center"/>
    </xf>
    <xf numFmtId="1" fontId="0" fillId="37" borderId="16" xfId="0" applyNumberFormat="1" applyFill="1" applyBorder="1" applyAlignment="1">
      <alignment horizontal="center" vertical="center"/>
    </xf>
    <xf numFmtId="1" fontId="0" fillId="0" borderId="52" xfId="0" applyNumberForma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64" xfId="0" applyFont="1" applyBorder="1" applyAlignment="1">
      <alignment horizontal="center" vertical="center" wrapText="1"/>
    </xf>
    <xf numFmtId="0" fontId="43" fillId="0" borderId="57" xfId="0" applyFont="1" applyBorder="1" applyAlignment="1">
      <alignment horizontal="center" vertical="center"/>
    </xf>
    <xf numFmtId="1" fontId="8" fillId="0" borderId="64" xfId="0" applyNumberFormat="1" applyFont="1" applyBorder="1" applyAlignment="1">
      <alignment horizontal="center" vertical="center"/>
    </xf>
    <xf numFmtId="1" fontId="8" fillId="0" borderId="65" xfId="0" applyNumberFormat="1" applyFont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1" fontId="8" fillId="0" borderId="18" xfId="0" applyNumberFormat="1" applyFont="1" applyBorder="1" applyAlignment="1">
      <alignment horizontal="center" vertical="center"/>
    </xf>
    <xf numFmtId="1" fontId="8" fillId="37" borderId="18" xfId="0" applyNumberFormat="1" applyFont="1" applyFill="1" applyBorder="1" applyAlignment="1">
      <alignment horizontal="center" vertical="center"/>
    </xf>
    <xf numFmtId="1" fontId="8" fillId="0" borderId="57" xfId="0" applyNumberFormat="1" applyFont="1" applyBorder="1" applyAlignment="1">
      <alignment horizontal="center" vertical="center"/>
    </xf>
    <xf numFmtId="1" fontId="46" fillId="0" borderId="64" xfId="0" applyNumberFormat="1" applyFont="1" applyBorder="1" applyAlignment="1">
      <alignment horizontal="center" vertical="center"/>
    </xf>
    <xf numFmtId="1" fontId="46" fillId="0" borderId="65" xfId="0" applyNumberFormat="1" applyFont="1" applyBorder="1" applyAlignment="1">
      <alignment horizontal="center" vertical="center"/>
    </xf>
    <xf numFmtId="1" fontId="46" fillId="0" borderId="25" xfId="0" applyNumberFormat="1" applyFont="1" applyBorder="1" applyAlignment="1">
      <alignment horizontal="center" vertical="center"/>
    </xf>
    <xf numFmtId="1" fontId="46" fillId="37" borderId="18" xfId="0" applyNumberFormat="1" applyFont="1" applyFill="1" applyBorder="1" applyAlignment="1">
      <alignment horizontal="center" vertical="center"/>
    </xf>
    <xf numFmtId="1" fontId="46" fillId="0" borderId="57" xfId="0" applyNumberFormat="1" applyFont="1" applyBorder="1" applyAlignment="1">
      <alignment horizontal="center" vertical="center"/>
    </xf>
    <xf numFmtId="1" fontId="0" fillId="0" borderId="64" xfId="0" applyNumberFormat="1" applyBorder="1" applyAlignment="1">
      <alignment horizontal="center" vertical="center"/>
    </xf>
    <xf numFmtId="1" fontId="41" fillId="0" borderId="64" xfId="137" applyNumberFormat="1" applyFont="1" applyBorder="1" applyAlignment="1">
      <alignment horizontal="center" vertical="center"/>
    </xf>
    <xf numFmtId="1" fontId="0" fillId="0" borderId="25" xfId="0" applyNumberFormat="1" applyBorder="1" applyAlignment="1">
      <alignment horizontal="center" vertical="center"/>
    </xf>
    <xf numFmtId="1" fontId="0" fillId="37" borderId="18" xfId="0" applyNumberFormat="1" applyFill="1" applyBorder="1" applyAlignment="1">
      <alignment horizontal="center" vertical="center"/>
    </xf>
    <xf numFmtId="166" fontId="0" fillId="0" borderId="31" xfId="0" applyNumberFormat="1" applyBorder="1" applyAlignment="1">
      <alignment horizontal="center" vertical="center"/>
    </xf>
    <xf numFmtId="166" fontId="0" fillId="0" borderId="57" xfId="0" applyNumberFormat="1" applyBorder="1" applyAlignment="1">
      <alignment horizontal="center" vertical="center"/>
    </xf>
    <xf numFmtId="166" fontId="0" fillId="0" borderId="64" xfId="0" applyNumberFormat="1" applyBorder="1" applyAlignment="1">
      <alignment horizontal="center" vertical="center"/>
    </xf>
    <xf numFmtId="166" fontId="0" fillId="0" borderId="25" xfId="0" applyNumberFormat="1" applyBorder="1" applyAlignment="1">
      <alignment horizontal="center" vertical="center"/>
    </xf>
    <xf numFmtId="166" fontId="41" fillId="0" borderId="64" xfId="137" applyNumberFormat="1" applyFont="1" applyBorder="1" applyAlignment="1">
      <alignment horizontal="center" vertical="center"/>
    </xf>
    <xf numFmtId="2" fontId="0" fillId="0" borderId="64" xfId="0" applyNumberFormat="1" applyBorder="1" applyAlignment="1">
      <alignment horizontal="center" vertical="center"/>
    </xf>
    <xf numFmtId="166" fontId="0" fillId="37" borderId="18" xfId="0" applyNumberFormat="1" applyFill="1" applyBorder="1" applyAlignment="1">
      <alignment horizontal="center" vertical="center"/>
    </xf>
    <xf numFmtId="2" fontId="0" fillId="0" borderId="57" xfId="0" applyNumberFormat="1" applyBorder="1" applyAlignment="1">
      <alignment horizontal="center" vertical="center"/>
    </xf>
    <xf numFmtId="1" fontId="0" fillId="5" borderId="7" xfId="0" applyNumberFormat="1" applyFill="1" applyBorder="1" applyAlignment="1">
      <alignment horizontal="center" vertical="center"/>
    </xf>
    <xf numFmtId="1" fontId="0" fillId="5" borderId="18" xfId="0" applyNumberFormat="1" applyFill="1" applyBorder="1" applyAlignment="1">
      <alignment horizontal="center" vertical="center"/>
    </xf>
    <xf numFmtId="1" fontId="0" fillId="5" borderId="57" xfId="0" applyNumberFormat="1" applyFill="1" applyBorder="1" applyAlignment="1">
      <alignment horizontal="center" vertical="center"/>
    </xf>
    <xf numFmtId="1" fontId="0" fillId="5" borderId="64" xfId="0" applyNumberFormat="1" applyFill="1" applyBorder="1" applyAlignment="1">
      <alignment horizontal="center" vertical="center"/>
    </xf>
    <xf numFmtId="166" fontId="41" fillId="0" borderId="25" xfId="137" applyNumberFormat="1" applyFont="1" applyBorder="1" applyAlignment="1">
      <alignment horizontal="center" vertical="center"/>
    </xf>
    <xf numFmtId="166" fontId="41" fillId="0" borderId="57" xfId="0" applyNumberFormat="1" applyFont="1" applyBorder="1" applyAlignment="1">
      <alignment horizontal="center" vertical="center"/>
    </xf>
    <xf numFmtId="2" fontId="0" fillId="0" borderId="31" xfId="0" applyNumberFormat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2" fontId="41" fillId="0" borderId="25" xfId="137" applyNumberFormat="1" applyFont="1" applyBorder="1" applyAlignment="1">
      <alignment horizontal="center" vertical="center"/>
    </xf>
    <xf numFmtId="2" fontId="0" fillId="37" borderId="18" xfId="0" applyNumberFormat="1" applyFill="1" applyBorder="1" applyAlignment="1">
      <alignment horizontal="center" vertical="center"/>
    </xf>
    <xf numFmtId="2" fontId="0" fillId="0" borderId="53" xfId="0" applyNumberFormat="1" applyBorder="1" applyAlignment="1">
      <alignment horizontal="center" vertical="center"/>
    </xf>
    <xf numFmtId="1" fontId="41" fillId="5" borderId="25" xfId="137" applyNumberFormat="1" applyFont="1" applyFill="1" applyBorder="1" applyAlignment="1">
      <alignment horizontal="center" vertical="center"/>
    </xf>
    <xf numFmtId="1" fontId="41" fillId="5" borderId="29" xfId="137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39" fillId="0" borderId="25" xfId="0" applyNumberFormat="1" applyFont="1" applyBorder="1" applyAlignment="1">
      <alignment horizontal="center" vertical="center"/>
    </xf>
    <xf numFmtId="20" fontId="0" fillId="5" borderId="25" xfId="0" applyNumberFormat="1" applyFill="1" applyBorder="1" applyAlignment="1">
      <alignment horizontal="center" vertical="center"/>
    </xf>
    <xf numFmtId="20" fontId="0" fillId="5" borderId="18" xfId="0" applyNumberFormat="1" applyFill="1" applyBorder="1" applyAlignment="1">
      <alignment horizontal="center" vertical="center"/>
    </xf>
    <xf numFmtId="20" fontId="0" fillId="5" borderId="7" xfId="0" applyNumberForma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41" fillId="37" borderId="25" xfId="0" applyFont="1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57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43" fillId="5" borderId="31" xfId="0" applyFont="1" applyFill="1" applyBorder="1" applyAlignment="1">
      <alignment horizontal="center" vertical="center"/>
    </xf>
    <xf numFmtId="0" fontId="43" fillId="5" borderId="25" xfId="0" applyFont="1" applyFill="1" applyBorder="1" applyAlignment="1">
      <alignment horizontal="center" vertical="center"/>
    </xf>
    <xf numFmtId="0" fontId="42" fillId="5" borderId="7" xfId="0" applyFont="1" applyFill="1" applyBorder="1" applyAlignment="1">
      <alignment horizontal="center" vertical="center"/>
    </xf>
    <xf numFmtId="1" fontId="41" fillId="37" borderId="25" xfId="137" applyNumberFormat="1" applyFont="1" applyFill="1" applyBorder="1" applyAlignment="1">
      <alignment horizontal="center" vertical="center"/>
    </xf>
    <xf numFmtId="1" fontId="41" fillId="37" borderId="57" xfId="137" applyNumberFormat="1" applyFont="1" applyFill="1" applyBorder="1" applyAlignment="1">
      <alignment horizontal="center" vertical="center"/>
    </xf>
    <xf numFmtId="1" fontId="0" fillId="5" borderId="28" xfId="0" applyNumberFormat="1" applyFill="1" applyBorder="1" applyAlignment="1">
      <alignment horizontal="center" vertical="center"/>
    </xf>
    <xf numFmtId="1" fontId="0" fillId="5" borderId="25" xfId="0" applyNumberFormat="1" applyFill="1" applyBorder="1" applyAlignment="1">
      <alignment horizontal="center" vertical="center"/>
    </xf>
    <xf numFmtId="1" fontId="0" fillId="5" borderId="31" xfId="0" applyNumberFormat="1" applyFill="1" applyBorder="1" applyAlignment="1">
      <alignment horizontal="center" vertical="center"/>
    </xf>
    <xf numFmtId="1" fontId="41" fillId="5" borderId="26" xfId="137" applyNumberFormat="1" applyFont="1" applyFill="1" applyBorder="1" applyAlignment="1">
      <alignment horizontal="center" vertical="center"/>
    </xf>
    <xf numFmtId="1" fontId="41" fillId="5" borderId="26" xfId="0" applyNumberFormat="1" applyFont="1" applyFill="1" applyBorder="1" applyAlignment="1">
      <alignment horizontal="center" vertical="center"/>
    </xf>
    <xf numFmtId="0" fontId="41" fillId="0" borderId="25" xfId="137" applyFont="1" applyBorder="1" applyAlignment="1">
      <alignment horizontal="center" vertical="center"/>
    </xf>
    <xf numFmtId="2" fontId="39" fillId="0" borderId="31" xfId="137" applyNumberFormat="1" applyFont="1" applyBorder="1" applyAlignment="1">
      <alignment horizontal="center" vertical="center"/>
    </xf>
    <xf numFmtId="2" fontId="39" fillId="0" borderId="25" xfId="137" applyNumberFormat="1" applyFont="1" applyBorder="1" applyAlignment="1">
      <alignment horizontal="center" vertical="center"/>
    </xf>
    <xf numFmtId="2" fontId="0" fillId="0" borderId="65" xfId="0" applyNumberFormat="1" applyBorder="1" applyAlignment="1">
      <alignment horizontal="center" vertical="center"/>
    </xf>
    <xf numFmtId="2" fontId="39" fillId="0" borderId="7" xfId="137" applyNumberFormat="1" applyFont="1" applyBorder="1" applyAlignment="1">
      <alignment horizontal="center" vertical="center"/>
    </xf>
    <xf numFmtId="2" fontId="39" fillId="0" borderId="19" xfId="137" applyNumberFormat="1" applyFont="1" applyBorder="1" applyAlignment="1">
      <alignment horizontal="center" vertical="center"/>
    </xf>
    <xf numFmtId="1" fontId="39" fillId="0" borderId="31" xfId="137" applyNumberFormat="1" applyFont="1" applyBorder="1" applyAlignment="1">
      <alignment horizontal="center" vertical="center"/>
    </xf>
    <xf numFmtId="1" fontId="39" fillId="0" borderId="64" xfId="137" applyNumberFormat="1" applyFont="1" applyBorder="1" applyAlignment="1">
      <alignment horizontal="center" vertical="center"/>
    </xf>
    <xf numFmtId="1" fontId="41" fillId="0" borderId="25" xfId="137" applyNumberFormat="1" applyFont="1" applyBorder="1" applyAlignment="1">
      <alignment horizontal="center" vertical="center"/>
    </xf>
    <xf numFmtId="1" fontId="39" fillId="0" borderId="57" xfId="137" applyNumberFormat="1" applyFont="1" applyBorder="1" applyAlignment="1">
      <alignment horizontal="center" vertical="center"/>
    </xf>
    <xf numFmtId="1" fontId="39" fillId="0" borderId="7" xfId="137" applyNumberFormat="1" applyFont="1" applyBorder="1" applyAlignment="1">
      <alignment horizontal="center" vertical="center"/>
    </xf>
    <xf numFmtId="1" fontId="39" fillId="0" borderId="19" xfId="137" applyNumberFormat="1" applyFont="1" applyBorder="1" applyAlignment="1">
      <alignment horizontal="center" vertical="center"/>
    </xf>
    <xf numFmtId="2" fontId="41" fillId="0" borderId="64" xfId="137" applyNumberFormat="1" applyFont="1" applyBorder="1" applyAlignment="1">
      <alignment horizontal="center" vertical="center"/>
    </xf>
    <xf numFmtId="1" fontId="41" fillId="0" borderId="78" xfId="137" applyNumberFormat="1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" fontId="0" fillId="0" borderId="78" xfId="0" applyNumberFormat="1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" fontId="0" fillId="0" borderId="66" xfId="0" applyNumberFormat="1" applyBorder="1" applyAlignment="1">
      <alignment horizontal="center" vertical="center"/>
    </xf>
    <xf numFmtId="0" fontId="36" fillId="0" borderId="0" xfId="137" applyFont="1" applyAlignment="1">
      <alignment vertical="center" wrapText="1"/>
    </xf>
    <xf numFmtId="0" fontId="57" fillId="0" borderId="0" xfId="0" applyFont="1" applyAlignment="1">
      <alignment horizontal="center" vertical="center"/>
    </xf>
    <xf numFmtId="0" fontId="58" fillId="0" borderId="26" xfId="0" applyFont="1" applyBorder="1" applyAlignment="1">
      <alignment vertical="center"/>
    </xf>
    <xf numFmtId="0" fontId="1" fillId="0" borderId="11" xfId="3" applyBorder="1" applyProtection="1">
      <protection locked="0"/>
    </xf>
    <xf numFmtId="0" fontId="2" fillId="0" borderId="48" xfId="3" applyFont="1" applyBorder="1" applyAlignment="1" applyProtection="1">
      <alignment horizontal="center" vertical="center"/>
      <protection locked="0"/>
    </xf>
    <xf numFmtId="0" fontId="1" fillId="0" borderId="48" xfId="3" applyBorder="1" applyAlignment="1" applyProtection="1">
      <alignment horizontal="center" vertical="center" wrapText="1"/>
      <protection locked="0"/>
    </xf>
    <xf numFmtId="0" fontId="1" fillId="0" borderId="48" xfId="3" applyBorder="1" applyAlignment="1" applyProtection="1">
      <alignment horizontal="center" vertical="center"/>
      <protection locked="0"/>
    </xf>
    <xf numFmtId="0" fontId="2" fillId="0" borderId="80" xfId="3" applyFont="1" applyBorder="1" applyAlignment="1" applyProtection="1">
      <alignment horizontal="center" vertical="center"/>
      <protection locked="0"/>
    </xf>
    <xf numFmtId="0" fontId="1" fillId="0" borderId="80" xfId="3" applyBorder="1" applyAlignment="1" applyProtection="1">
      <alignment horizontal="center" vertical="center"/>
      <protection locked="0"/>
    </xf>
    <xf numFmtId="0" fontId="2" fillId="0" borderId="54" xfId="3" applyFont="1" applyBorder="1" applyAlignment="1" applyProtection="1">
      <alignment horizontal="center" vertical="center"/>
      <protection locked="0"/>
    </xf>
    <xf numFmtId="0" fontId="1" fillId="0" borderId="54" xfId="3" applyBorder="1" applyAlignment="1" applyProtection="1">
      <alignment horizontal="center" vertical="center"/>
      <protection locked="0"/>
    </xf>
    <xf numFmtId="1" fontId="1" fillId="5" borderId="7" xfId="3" applyNumberFormat="1" applyFill="1" applyBorder="1" applyAlignment="1">
      <alignment horizontal="center" vertical="center"/>
    </xf>
    <xf numFmtId="166" fontId="33" fillId="5" borderId="18" xfId="4" applyNumberFormat="1" applyFont="1" applyFill="1" applyBorder="1" applyAlignment="1" applyProtection="1">
      <alignment horizontal="center" vertical="center"/>
    </xf>
    <xf numFmtId="164" fontId="1" fillId="5" borderId="18" xfId="3" applyNumberFormat="1" applyFill="1" applyBorder="1" applyAlignment="1">
      <alignment horizontal="center" vertical="center"/>
    </xf>
    <xf numFmtId="1" fontId="1" fillId="5" borderId="18" xfId="3" applyNumberFormat="1" applyFill="1" applyBorder="1" applyAlignment="1">
      <alignment horizontal="center" vertical="center"/>
    </xf>
    <xf numFmtId="0" fontId="29" fillId="5" borderId="7" xfId="3" applyFont="1" applyFill="1" applyBorder="1" applyAlignment="1" applyProtection="1">
      <alignment horizontal="center" vertical="center"/>
      <protection locked="0"/>
    </xf>
    <xf numFmtId="164" fontId="29" fillId="5" borderId="18" xfId="3" applyNumberFormat="1" applyFont="1" applyFill="1" applyBorder="1" applyAlignment="1">
      <alignment horizontal="center" vertical="center"/>
    </xf>
    <xf numFmtId="1" fontId="29" fillId="5" borderId="18" xfId="3" applyNumberFormat="1" applyFont="1" applyFill="1" applyBorder="1" applyAlignment="1">
      <alignment horizontal="center" vertical="center"/>
    </xf>
    <xf numFmtId="166" fontId="33" fillId="5" borderId="19" xfId="3" applyNumberFormat="1" applyFont="1" applyFill="1" applyBorder="1" applyAlignment="1">
      <alignment horizontal="center" vertical="center" wrapText="1"/>
    </xf>
    <xf numFmtId="0" fontId="2" fillId="5" borderId="48" xfId="3" applyFont="1" applyFill="1" applyBorder="1" applyAlignment="1" applyProtection="1">
      <alignment horizontal="center" vertical="center"/>
      <protection locked="0"/>
    </xf>
    <xf numFmtId="0" fontId="1" fillId="5" borderId="48" xfId="3" applyFill="1" applyBorder="1" applyAlignment="1" applyProtection="1">
      <alignment horizontal="center" vertical="center"/>
      <protection locked="0"/>
    </xf>
    <xf numFmtId="0" fontId="2" fillId="50" borderId="54" xfId="3" applyFont="1" applyFill="1" applyBorder="1" applyAlignment="1" applyProtection="1">
      <alignment horizontal="center" vertical="center"/>
      <protection locked="0"/>
    </xf>
    <xf numFmtId="0" fontId="1" fillId="50" borderId="54" xfId="3" applyFill="1" applyBorder="1" applyAlignment="1" applyProtection="1">
      <alignment horizontal="center" vertical="center"/>
      <protection locked="0"/>
    </xf>
    <xf numFmtId="0" fontId="1" fillId="50" borderId="0" xfId="3" applyFill="1" applyProtection="1">
      <protection locked="0"/>
    </xf>
    <xf numFmtId="0" fontId="1" fillId="0" borderId="47" xfId="3" applyBorder="1" applyProtection="1">
      <protection locked="0"/>
    </xf>
    <xf numFmtId="0" fontId="1" fillId="0" borderId="31" xfId="3" applyBorder="1" applyAlignment="1" applyProtection="1">
      <alignment vertical="center"/>
      <protection locked="0"/>
    </xf>
    <xf numFmtId="0" fontId="1" fillId="0" borderId="61" xfId="3" applyBorder="1" applyProtection="1">
      <protection locked="0"/>
    </xf>
    <xf numFmtId="0" fontId="1" fillId="37" borderId="31" xfId="3" applyFill="1" applyBorder="1" applyAlignment="1" applyProtection="1">
      <alignment horizontal="center" vertical="center"/>
      <protection locked="0"/>
    </xf>
    <xf numFmtId="0" fontId="1" fillId="5" borderId="31" xfId="3" applyFill="1" applyBorder="1" applyAlignment="1" applyProtection="1">
      <alignment horizontal="center" vertical="center"/>
      <protection locked="0"/>
    </xf>
    <xf numFmtId="0" fontId="1" fillId="37" borderId="61" xfId="3" applyFill="1" applyBorder="1" applyAlignment="1" applyProtection="1">
      <alignment horizontal="center" vertical="center"/>
      <protection locked="0"/>
    </xf>
    <xf numFmtId="0" fontId="1" fillId="37" borderId="55" xfId="3" applyFill="1" applyBorder="1" applyAlignment="1" applyProtection="1">
      <alignment horizontal="center" vertical="center"/>
      <protection locked="0"/>
    </xf>
    <xf numFmtId="0" fontId="1" fillId="50" borderId="55" xfId="3" applyFill="1" applyBorder="1" applyAlignment="1" applyProtection="1">
      <alignment horizontal="center" vertical="center"/>
      <protection locked="0"/>
    </xf>
    <xf numFmtId="0" fontId="1" fillId="0" borderId="18" xfId="3" applyBorder="1" applyAlignment="1" applyProtection="1">
      <alignment horizontal="center"/>
      <protection locked="0"/>
    </xf>
    <xf numFmtId="1" fontId="1" fillId="50" borderId="18" xfId="3" applyNumberFormat="1" applyFill="1" applyBorder="1" applyAlignment="1">
      <alignment horizontal="center" vertical="center"/>
    </xf>
    <xf numFmtId="0" fontId="1" fillId="0" borderId="7" xfId="3" applyBorder="1" applyAlignment="1" applyProtection="1">
      <alignment horizontal="center"/>
      <protection locked="0"/>
    </xf>
    <xf numFmtId="0" fontId="1" fillId="0" borderId="19" xfId="3" applyBorder="1" applyAlignment="1" applyProtection="1">
      <alignment horizontal="center"/>
      <protection locked="0"/>
    </xf>
    <xf numFmtId="1" fontId="1" fillId="50" borderId="7" xfId="3" applyNumberFormat="1" applyFill="1" applyBorder="1" applyAlignment="1">
      <alignment horizontal="center" vertical="center"/>
    </xf>
    <xf numFmtId="164" fontId="29" fillId="50" borderId="18" xfId="3" applyNumberFormat="1" applyFont="1" applyFill="1" applyBorder="1" applyAlignment="1">
      <alignment horizontal="center" vertical="center"/>
    </xf>
    <xf numFmtId="1" fontId="29" fillId="50" borderId="18" xfId="3" applyNumberFormat="1" applyFont="1" applyFill="1" applyBorder="1" applyAlignment="1">
      <alignment horizontal="center" vertical="center"/>
    </xf>
    <xf numFmtId="0" fontId="29" fillId="50" borderId="7" xfId="3" applyFont="1" applyFill="1" applyBorder="1" applyAlignment="1" applyProtection="1">
      <alignment horizontal="center" vertical="center"/>
      <protection locked="0"/>
    </xf>
    <xf numFmtId="166" fontId="33" fillId="50" borderId="19" xfId="3" applyNumberFormat="1" applyFont="1" applyFill="1" applyBorder="1" applyAlignment="1">
      <alignment horizontal="center" vertical="center" wrapText="1"/>
    </xf>
    <xf numFmtId="1" fontId="1" fillId="37" borderId="8" xfId="3" applyNumberFormat="1" applyFill="1" applyBorder="1" applyAlignment="1">
      <alignment horizontal="center" vertical="center"/>
    </xf>
    <xf numFmtId="1" fontId="1" fillId="0" borderId="19" xfId="3" applyNumberFormat="1" applyBorder="1" applyAlignment="1">
      <alignment horizontal="center" vertical="center" wrapText="1"/>
    </xf>
    <xf numFmtId="1" fontId="1" fillId="5" borderId="19" xfId="3" applyNumberFormat="1" applyFill="1" applyBorder="1" applyAlignment="1">
      <alignment horizontal="center" vertical="center" wrapText="1"/>
    </xf>
    <xf numFmtId="0" fontId="1" fillId="37" borderId="18" xfId="3" applyFill="1" applyBorder="1" applyAlignment="1">
      <alignment horizontal="center" vertical="center"/>
    </xf>
    <xf numFmtId="166" fontId="33" fillId="50" borderId="18" xfId="4" applyNumberFormat="1" applyFont="1" applyFill="1" applyBorder="1" applyAlignment="1" applyProtection="1">
      <alignment horizontal="center" vertical="center"/>
    </xf>
    <xf numFmtId="164" fontId="1" fillId="50" borderId="18" xfId="3" applyNumberFormat="1" applyFill="1" applyBorder="1" applyAlignment="1">
      <alignment horizontal="center" vertical="center"/>
    </xf>
    <xf numFmtId="1" fontId="1" fillId="50" borderId="19" xfId="3" applyNumberFormat="1" applyFill="1" applyBorder="1" applyAlignment="1">
      <alignment horizontal="center" vertical="center" wrapText="1"/>
    </xf>
    <xf numFmtId="164" fontId="1" fillId="0" borderId="20" xfId="3" applyNumberFormat="1" applyBorder="1" applyAlignment="1">
      <alignment horizontal="center" vertical="center"/>
    </xf>
    <xf numFmtId="1" fontId="1" fillId="0" borderId="20" xfId="3" applyNumberFormat="1" applyBorder="1" applyAlignment="1">
      <alignment horizontal="center" vertical="center"/>
    </xf>
    <xf numFmtId="1" fontId="1" fillId="0" borderId="21" xfId="3" applyNumberFormat="1" applyBorder="1" applyAlignment="1">
      <alignment horizontal="center" vertical="center" wrapText="1"/>
    </xf>
    <xf numFmtId="49" fontId="2" fillId="5" borderId="48" xfId="3" applyNumberFormat="1" applyFont="1" applyFill="1" applyBorder="1" applyAlignment="1" applyProtection="1">
      <alignment horizontal="center" vertical="center"/>
      <protection locked="0"/>
    </xf>
    <xf numFmtId="49" fontId="2" fillId="0" borderId="80" xfId="3" applyNumberFormat="1" applyFont="1" applyBorder="1" applyAlignment="1" applyProtection="1">
      <alignment horizontal="center" vertical="center"/>
      <protection locked="0"/>
    </xf>
    <xf numFmtId="49" fontId="2" fillId="0" borderId="54" xfId="3" applyNumberFormat="1" applyFont="1" applyBorder="1" applyAlignment="1" applyProtection="1">
      <alignment horizontal="center" vertical="center"/>
      <protection locked="0"/>
    </xf>
    <xf numFmtId="49" fontId="2" fillId="50" borderId="54" xfId="3" applyNumberFormat="1" applyFont="1" applyFill="1" applyBorder="1" applyAlignment="1" applyProtection="1">
      <alignment horizontal="center" vertical="center"/>
      <protection locked="0"/>
    </xf>
    <xf numFmtId="49" fontId="2" fillId="5" borderId="54" xfId="3" applyNumberFormat="1" applyFont="1" applyFill="1" applyBorder="1" applyAlignment="1" applyProtection="1">
      <alignment horizontal="center" vertical="center"/>
      <protection locked="0"/>
    </xf>
    <xf numFmtId="0" fontId="2" fillId="5" borderId="54" xfId="3" applyFont="1" applyFill="1" applyBorder="1" applyAlignment="1" applyProtection="1">
      <alignment horizontal="center" vertical="center"/>
      <protection locked="0"/>
    </xf>
    <xf numFmtId="0" fontId="1" fillId="5" borderId="54" xfId="3" applyFill="1" applyBorder="1" applyAlignment="1" applyProtection="1">
      <alignment horizontal="center" vertical="center"/>
      <protection locked="0"/>
    </xf>
    <xf numFmtId="1" fontId="1" fillId="37" borderId="81" xfId="3" applyNumberFormat="1" applyFill="1" applyBorder="1" applyAlignment="1">
      <alignment horizontal="center" vertical="center"/>
    </xf>
    <xf numFmtId="164" fontId="1" fillId="0" borderId="53" xfId="3" applyNumberFormat="1" applyBorder="1" applyAlignment="1">
      <alignment horizontal="center" vertical="center"/>
    </xf>
    <xf numFmtId="1" fontId="1" fillId="0" borderId="53" xfId="3" applyNumberFormat="1" applyBorder="1" applyAlignment="1">
      <alignment horizontal="center" vertical="center"/>
    </xf>
    <xf numFmtId="1" fontId="1" fillId="0" borderId="68" xfId="3" applyNumberFormat="1" applyBorder="1" applyAlignment="1">
      <alignment horizontal="center" vertical="center" wrapText="1"/>
    </xf>
    <xf numFmtId="166" fontId="29" fillId="5" borderId="19" xfId="4" applyNumberFormat="1" applyFont="1" applyFill="1" applyBorder="1" applyAlignment="1" applyProtection="1">
      <alignment horizontal="center" vertical="center"/>
    </xf>
    <xf numFmtId="166" fontId="29" fillId="50" borderId="19" xfId="4" applyNumberFormat="1" applyFont="1" applyFill="1" applyBorder="1" applyAlignment="1" applyProtection="1">
      <alignment horizontal="center" vertical="center"/>
    </xf>
    <xf numFmtId="1" fontId="1" fillId="37" borderId="82" xfId="3" applyNumberFormat="1" applyFill="1" applyBorder="1" applyAlignment="1">
      <alignment horizontal="center" vertical="center"/>
    </xf>
    <xf numFmtId="0" fontId="1" fillId="0" borderId="69" xfId="3" applyBorder="1" applyProtection="1">
      <protection locked="0"/>
    </xf>
    <xf numFmtId="0" fontId="1" fillId="0" borderId="48" xfId="3" applyBorder="1" applyProtection="1">
      <protection locked="0"/>
    </xf>
    <xf numFmtId="14" fontId="2" fillId="5" borderId="48" xfId="3" applyNumberFormat="1" applyFont="1" applyFill="1" applyBorder="1" applyAlignment="1" applyProtection="1">
      <alignment horizontal="center" vertical="center"/>
      <protection locked="0"/>
    </xf>
    <xf numFmtId="14" fontId="2" fillId="50" borderId="48" xfId="3" applyNumberFormat="1" applyFont="1" applyFill="1" applyBorder="1" applyAlignment="1" applyProtection="1">
      <alignment horizontal="center" vertical="center"/>
      <protection locked="0"/>
    </xf>
    <xf numFmtId="164" fontId="1" fillId="0" borderId="77" xfId="3" applyNumberFormat="1" applyBorder="1" applyAlignment="1">
      <alignment horizontal="center" vertical="center"/>
    </xf>
    <xf numFmtId="1" fontId="1" fillId="0" borderId="77" xfId="3" applyNumberFormat="1" applyBorder="1" applyAlignment="1">
      <alignment horizontal="center" vertical="center"/>
    </xf>
    <xf numFmtId="1" fontId="1" fillId="0" borderId="83" xfId="3" applyNumberFormat="1" applyBorder="1" applyAlignment="1">
      <alignment horizontal="center" vertical="center" wrapText="1"/>
    </xf>
    <xf numFmtId="49" fontId="2" fillId="0" borderId="50" xfId="3" applyNumberFormat="1" applyFont="1" applyBorder="1" applyAlignment="1" applyProtection="1">
      <alignment horizontal="center" vertical="center"/>
      <protection locked="0"/>
    </xf>
    <xf numFmtId="0" fontId="2" fillId="0" borderId="50" xfId="3" applyFont="1" applyBorder="1" applyAlignment="1" applyProtection="1">
      <alignment horizontal="center" vertical="center"/>
      <protection locked="0"/>
    </xf>
    <xf numFmtId="0" fontId="1" fillId="0" borderId="50" xfId="3" applyBorder="1" applyAlignment="1" applyProtection="1">
      <alignment horizontal="center" vertical="center"/>
      <protection locked="0"/>
    </xf>
    <xf numFmtId="0" fontId="1" fillId="37" borderId="32" xfId="3" applyFill="1" applyBorder="1" applyAlignment="1" applyProtection="1">
      <alignment horizontal="center" vertical="center"/>
      <protection locked="0"/>
    </xf>
    <xf numFmtId="0" fontId="1" fillId="51" borderId="31" xfId="3" applyFill="1" applyBorder="1" applyAlignment="1" applyProtection="1">
      <alignment horizontal="center" vertical="center"/>
      <protection locked="0"/>
    </xf>
    <xf numFmtId="14" fontId="2" fillId="51" borderId="48" xfId="3" applyNumberFormat="1" applyFont="1" applyFill="1" applyBorder="1" applyAlignment="1" applyProtection="1">
      <alignment horizontal="center" vertical="center"/>
      <protection locked="0"/>
    </xf>
    <xf numFmtId="1" fontId="1" fillId="51" borderId="7" xfId="3" applyNumberFormat="1" applyFill="1" applyBorder="1" applyAlignment="1">
      <alignment horizontal="center" vertical="center"/>
    </xf>
    <xf numFmtId="1" fontId="1" fillId="51" borderId="18" xfId="3" applyNumberFormat="1" applyFill="1" applyBorder="1" applyAlignment="1">
      <alignment horizontal="center" vertical="center"/>
    </xf>
    <xf numFmtId="166" fontId="29" fillId="51" borderId="19" xfId="4" applyNumberFormat="1" applyFont="1" applyFill="1" applyBorder="1" applyAlignment="1" applyProtection="1">
      <alignment horizontal="center" vertical="center"/>
    </xf>
    <xf numFmtId="166" fontId="33" fillId="51" borderId="18" xfId="4" applyNumberFormat="1" applyFont="1" applyFill="1" applyBorder="1" applyAlignment="1" applyProtection="1">
      <alignment horizontal="center" vertical="center"/>
    </xf>
    <xf numFmtId="164" fontId="1" fillId="51" borderId="18" xfId="3" applyNumberFormat="1" applyFill="1" applyBorder="1" applyAlignment="1">
      <alignment horizontal="center" vertical="center"/>
    </xf>
    <xf numFmtId="1" fontId="1" fillId="51" borderId="19" xfId="3" applyNumberFormat="1" applyFill="1" applyBorder="1" applyAlignment="1">
      <alignment horizontal="center" vertical="center" wrapText="1"/>
    </xf>
    <xf numFmtId="0" fontId="29" fillId="51" borderId="7" xfId="3" applyFont="1" applyFill="1" applyBorder="1" applyAlignment="1" applyProtection="1">
      <alignment horizontal="center" vertical="center"/>
      <protection locked="0"/>
    </xf>
    <xf numFmtId="164" fontId="29" fillId="51" borderId="18" xfId="3" applyNumberFormat="1" applyFont="1" applyFill="1" applyBorder="1" applyAlignment="1">
      <alignment horizontal="center" vertical="center"/>
    </xf>
    <xf numFmtId="1" fontId="29" fillId="51" borderId="18" xfId="3" applyNumberFormat="1" applyFont="1" applyFill="1" applyBorder="1" applyAlignment="1">
      <alignment horizontal="center" vertical="center"/>
    </xf>
    <xf numFmtId="166" fontId="33" fillId="51" borderId="19" xfId="3" applyNumberFormat="1" applyFont="1" applyFill="1" applyBorder="1" applyAlignment="1">
      <alignment horizontal="center" vertical="center" wrapText="1"/>
    </xf>
    <xf numFmtId="49" fontId="2" fillId="51" borderId="54" xfId="3" applyNumberFormat="1" applyFont="1" applyFill="1" applyBorder="1" applyAlignment="1" applyProtection="1">
      <alignment horizontal="center" vertical="center"/>
      <protection locked="0"/>
    </xf>
    <xf numFmtId="0" fontId="2" fillId="51" borderId="54" xfId="3" applyFont="1" applyFill="1" applyBorder="1" applyAlignment="1" applyProtection="1">
      <alignment horizontal="center" vertical="center"/>
      <protection locked="0"/>
    </xf>
    <xf numFmtId="0" fontId="1" fillId="51" borderId="54" xfId="3" applyFill="1" applyBorder="1" applyAlignment="1" applyProtection="1">
      <alignment horizontal="center" vertical="center"/>
      <protection locked="0"/>
    </xf>
    <xf numFmtId="0" fontId="1" fillId="51" borderId="0" xfId="3" applyFill="1" applyProtection="1">
      <protection locked="0"/>
    </xf>
    <xf numFmtId="0" fontId="1" fillId="52" borderId="0" xfId="3" applyFill="1" applyProtection="1">
      <protection locked="0"/>
    </xf>
    <xf numFmtId="0" fontId="1" fillId="53" borderId="0" xfId="3" applyFill="1" applyProtection="1">
      <protection locked="0"/>
    </xf>
    <xf numFmtId="0" fontId="1" fillId="54" borderId="0" xfId="3" applyFill="1" applyProtection="1">
      <protection locked="0"/>
    </xf>
    <xf numFmtId="0" fontId="60" fillId="53" borderId="0" xfId="3" applyFont="1" applyFill="1" applyProtection="1">
      <protection locked="0"/>
    </xf>
    <xf numFmtId="1" fontId="1" fillId="55" borderId="81" xfId="3" applyNumberFormat="1" applyFill="1" applyBorder="1" applyAlignment="1">
      <alignment horizontal="center" vertical="center"/>
    </xf>
    <xf numFmtId="1" fontId="1" fillId="55" borderId="8" xfId="3" applyNumberFormat="1" applyFill="1" applyBorder="1" applyAlignment="1">
      <alignment horizontal="center" vertical="center"/>
    </xf>
    <xf numFmtId="0" fontId="1" fillId="0" borderId="32" xfId="3" applyBorder="1" applyAlignment="1" applyProtection="1">
      <alignment horizontal="center" vertical="center" wrapText="1"/>
      <protection locked="0"/>
    </xf>
    <xf numFmtId="0" fontId="1" fillId="0" borderId="51" xfId="3" applyBorder="1" applyAlignment="1" applyProtection="1">
      <alignment horizontal="center" vertical="center" wrapText="1"/>
      <protection locked="0"/>
    </xf>
    <xf numFmtId="0" fontId="1" fillId="0" borderId="66" xfId="3" applyBorder="1" applyAlignment="1" applyProtection="1">
      <alignment horizontal="center" vertical="center" wrapText="1"/>
      <protection locked="0"/>
    </xf>
    <xf numFmtId="0" fontId="1" fillId="0" borderId="31" xfId="3" applyBorder="1" applyAlignment="1" applyProtection="1">
      <alignment horizontal="center" vertical="center" wrapText="1"/>
      <protection locked="0"/>
    </xf>
    <xf numFmtId="0" fontId="1" fillId="0" borderId="25" xfId="3" applyBorder="1" applyAlignment="1" applyProtection="1">
      <alignment horizontal="center" vertical="center" wrapText="1"/>
      <protection locked="0"/>
    </xf>
    <xf numFmtId="0" fontId="1" fillId="0" borderId="65" xfId="3" applyBorder="1" applyAlignment="1" applyProtection="1">
      <alignment horizontal="center" vertical="center" wrapText="1"/>
      <protection locked="0"/>
    </xf>
    <xf numFmtId="0" fontId="1" fillId="5" borderId="31" xfId="3" applyFill="1" applyBorder="1" applyAlignment="1" applyProtection="1">
      <alignment horizontal="center" vertical="center" wrapText="1"/>
      <protection locked="0"/>
    </xf>
    <xf numFmtId="0" fontId="1" fillId="5" borderId="25" xfId="3" applyFill="1" applyBorder="1" applyAlignment="1" applyProtection="1">
      <alignment horizontal="center" vertical="center" wrapText="1"/>
      <protection locked="0"/>
    </xf>
    <xf numFmtId="0" fontId="1" fillId="5" borderId="65" xfId="3" applyFill="1" applyBorder="1" applyAlignment="1" applyProtection="1">
      <alignment horizontal="center" vertical="center" wrapText="1"/>
      <protection locked="0"/>
    </xf>
    <xf numFmtId="0" fontId="1" fillId="0" borderId="31" xfId="3" applyBorder="1" applyAlignment="1" applyProtection="1">
      <alignment horizontal="center" vertical="top" wrapText="1"/>
      <protection locked="0"/>
    </xf>
    <xf numFmtId="0" fontId="1" fillId="0" borderId="25" xfId="3" applyBorder="1" applyAlignment="1" applyProtection="1">
      <alignment horizontal="center" vertical="top" wrapText="1"/>
      <protection locked="0"/>
    </xf>
    <xf numFmtId="0" fontId="1" fillId="0" borderId="65" xfId="3" applyBorder="1" applyAlignment="1" applyProtection="1">
      <alignment horizontal="center" vertical="top" wrapText="1"/>
      <protection locked="0"/>
    </xf>
    <xf numFmtId="0" fontId="1" fillId="0" borderId="32" xfId="3" applyBorder="1" applyAlignment="1" applyProtection="1">
      <alignment horizontal="center" vertical="top" wrapText="1"/>
      <protection locked="0"/>
    </xf>
    <xf numFmtId="0" fontId="1" fillId="0" borderId="51" xfId="3" applyBorder="1" applyAlignment="1" applyProtection="1">
      <alignment horizontal="center" vertical="top" wrapText="1"/>
      <protection locked="0"/>
    </xf>
    <xf numFmtId="0" fontId="1" fillId="0" borderId="66" xfId="3" applyBorder="1" applyAlignment="1" applyProtection="1">
      <alignment horizontal="center" vertical="top" wrapText="1"/>
      <protection locked="0"/>
    </xf>
    <xf numFmtId="0" fontId="1" fillId="0" borderId="12" xfId="3" applyBorder="1" applyAlignment="1" applyProtection="1">
      <alignment horizontal="center" vertical="center"/>
      <protection locked="0"/>
    </xf>
    <xf numFmtId="0" fontId="1" fillId="0" borderId="14" xfId="3" applyBorder="1" applyAlignment="1" applyProtection="1">
      <alignment horizontal="center" vertical="center"/>
      <protection locked="0"/>
    </xf>
    <xf numFmtId="0" fontId="1" fillId="0" borderId="12" xfId="3" applyBorder="1" applyAlignment="1" applyProtection="1">
      <alignment horizontal="center" vertical="center" wrapText="1"/>
      <protection locked="0"/>
    </xf>
    <xf numFmtId="0" fontId="1" fillId="0" borderId="14" xfId="3" applyBorder="1" applyAlignment="1" applyProtection="1">
      <alignment horizontal="center" vertical="center" wrapText="1"/>
      <protection locked="0"/>
    </xf>
    <xf numFmtId="0" fontId="1" fillId="0" borderId="9" xfId="3" applyBorder="1" applyAlignment="1" applyProtection="1">
      <alignment horizontal="center" vertical="center"/>
      <protection locked="0"/>
    </xf>
    <xf numFmtId="0" fontId="1" fillId="0" borderId="10" xfId="3" applyBorder="1" applyAlignment="1" applyProtection="1">
      <alignment horizontal="center" vertical="center"/>
      <protection locked="0"/>
    </xf>
    <xf numFmtId="0" fontId="1" fillId="0" borderId="11" xfId="3" applyBorder="1" applyAlignment="1" applyProtection="1">
      <alignment horizontal="center" vertical="center"/>
      <protection locked="0"/>
    </xf>
    <xf numFmtId="0" fontId="1" fillId="0" borderId="5" xfId="3" applyBorder="1" applyAlignment="1" applyProtection="1">
      <alignment horizontal="center" vertical="center"/>
      <protection locked="0"/>
    </xf>
    <xf numFmtId="0" fontId="1" fillId="0" borderId="56" xfId="3" applyBorder="1" applyAlignment="1" applyProtection="1">
      <alignment horizontal="center" vertical="center"/>
      <protection locked="0"/>
    </xf>
    <xf numFmtId="0" fontId="1" fillId="0" borderId="13" xfId="3" applyBorder="1" applyAlignment="1" applyProtection="1">
      <alignment horizontal="center" vertical="center"/>
      <protection locked="0"/>
    </xf>
    <xf numFmtId="0" fontId="1" fillId="0" borderId="47" xfId="3" applyBorder="1" applyAlignment="1" applyProtection="1">
      <alignment horizontal="center" vertical="top" wrapText="1"/>
      <protection locked="0"/>
    </xf>
    <xf numFmtId="0" fontId="1" fillId="0" borderId="73" xfId="3" applyBorder="1" applyAlignment="1" applyProtection="1">
      <alignment horizontal="center" vertical="top" wrapText="1"/>
      <protection locked="0"/>
    </xf>
    <xf numFmtId="0" fontId="1" fillId="0" borderId="67" xfId="3" applyBorder="1" applyAlignment="1" applyProtection="1">
      <alignment horizontal="center" vertical="top" wrapText="1"/>
      <protection locked="0"/>
    </xf>
    <xf numFmtId="0" fontId="1" fillId="0" borderId="55" xfId="3" applyBorder="1" applyAlignment="1" applyProtection="1">
      <alignment horizontal="center" vertical="top" wrapText="1"/>
      <protection locked="0"/>
    </xf>
    <xf numFmtId="0" fontId="1" fillId="0" borderId="26" xfId="3" applyBorder="1" applyAlignment="1" applyProtection="1">
      <alignment horizontal="center" vertical="top" wrapText="1"/>
      <protection locked="0"/>
    </xf>
    <xf numFmtId="0" fontId="1" fillId="0" borderId="60" xfId="3" applyBorder="1" applyAlignment="1" applyProtection="1">
      <alignment horizontal="center" vertical="top" wrapText="1"/>
      <protection locked="0"/>
    </xf>
    <xf numFmtId="0" fontId="1" fillId="50" borderId="31" xfId="3" applyFill="1" applyBorder="1" applyAlignment="1" applyProtection="1">
      <alignment horizontal="center" vertical="center" wrapText="1"/>
      <protection locked="0"/>
    </xf>
    <xf numFmtId="0" fontId="1" fillId="50" borderId="25" xfId="3" applyFill="1" applyBorder="1" applyAlignment="1" applyProtection="1">
      <alignment horizontal="center" vertical="center" wrapText="1"/>
      <protection locked="0"/>
    </xf>
    <xf numFmtId="0" fontId="1" fillId="50" borderId="65" xfId="3" applyFill="1" applyBorder="1" applyAlignment="1" applyProtection="1">
      <alignment horizontal="center" vertical="center" wrapText="1"/>
      <protection locked="0"/>
    </xf>
    <xf numFmtId="0" fontId="3" fillId="0" borderId="56" xfId="3" applyFont="1" applyBorder="1" applyAlignment="1" applyProtection="1">
      <alignment horizontal="center"/>
      <protection locked="0"/>
    </xf>
    <xf numFmtId="0" fontId="1" fillId="0" borderId="49" xfId="3" applyBorder="1" applyAlignment="1" applyProtection="1">
      <alignment horizontal="center" vertical="center" wrapText="1"/>
      <protection locked="0"/>
    </xf>
    <xf numFmtId="0" fontId="3" fillId="0" borderId="0" xfId="3" applyFont="1" applyAlignment="1" applyProtection="1">
      <alignment horizontal="center" vertical="center"/>
      <protection locked="0"/>
    </xf>
    <xf numFmtId="0" fontId="3" fillId="39" borderId="1" xfId="3" quotePrefix="1" applyFont="1" applyFill="1" applyBorder="1" applyAlignment="1" applyProtection="1">
      <alignment horizontal="center" vertical="center"/>
      <protection locked="0"/>
    </xf>
    <xf numFmtId="0" fontId="3" fillId="39" borderId="2" xfId="3" quotePrefix="1" applyFont="1" applyFill="1" applyBorder="1" applyAlignment="1" applyProtection="1">
      <alignment horizontal="center" vertical="center"/>
      <protection locked="0"/>
    </xf>
    <xf numFmtId="0" fontId="3" fillId="39" borderId="3" xfId="3" quotePrefix="1" applyFont="1" applyFill="1" applyBorder="1" applyAlignment="1" applyProtection="1">
      <alignment horizontal="center" vertical="center"/>
      <protection locked="0"/>
    </xf>
    <xf numFmtId="0" fontId="1" fillId="37" borderId="57" xfId="3" applyFill="1" applyBorder="1" applyAlignment="1" applyProtection="1">
      <alignment horizontal="left"/>
      <protection locked="0"/>
    </xf>
    <xf numFmtId="0" fontId="1" fillId="37" borderId="25" xfId="3" applyFill="1" applyBorder="1" applyAlignment="1" applyProtection="1">
      <alignment horizontal="left"/>
      <protection locked="0"/>
    </xf>
    <xf numFmtId="0" fontId="1" fillId="37" borderId="65" xfId="3" applyFill="1" applyBorder="1" applyAlignment="1" applyProtection="1">
      <alignment horizontal="left"/>
      <protection locked="0"/>
    </xf>
    <xf numFmtId="0" fontId="1" fillId="0" borderId="0" xfId="3" applyAlignment="1" applyProtection="1">
      <alignment horizontal="center" vertical="center"/>
      <protection locked="0"/>
    </xf>
    <xf numFmtId="0" fontId="1" fillId="0" borderId="49" xfId="3" applyBorder="1" applyAlignment="1" applyProtection="1">
      <alignment horizontal="center" vertical="center"/>
      <protection locked="0"/>
    </xf>
    <xf numFmtId="0" fontId="1" fillId="0" borderId="70" xfId="3" applyBorder="1" applyAlignment="1" applyProtection="1">
      <alignment horizontal="center" vertical="center"/>
      <protection locked="0"/>
    </xf>
    <xf numFmtId="0" fontId="1" fillId="0" borderId="71" xfId="3" applyBorder="1" applyAlignment="1" applyProtection="1">
      <alignment horizontal="center" vertical="center"/>
      <protection locked="0"/>
    </xf>
    <xf numFmtId="0" fontId="1" fillId="51" borderId="31" xfId="3" applyFill="1" applyBorder="1" applyAlignment="1" applyProtection="1">
      <alignment horizontal="center" vertical="center" wrapText="1"/>
      <protection locked="0"/>
    </xf>
    <xf numFmtId="0" fontId="1" fillId="51" borderId="25" xfId="3" applyFill="1" applyBorder="1" applyAlignment="1" applyProtection="1">
      <alignment horizontal="center" vertical="center" wrapText="1"/>
      <protection locked="0"/>
    </xf>
    <xf numFmtId="0" fontId="1" fillId="51" borderId="65" xfId="3" applyFill="1" applyBorder="1" applyAlignment="1" applyProtection="1">
      <alignment horizontal="center" vertical="center" wrapText="1"/>
      <protection locked="0"/>
    </xf>
    <xf numFmtId="0" fontId="1" fillId="0" borderId="6" xfId="3" applyBorder="1" applyAlignment="1" applyProtection="1">
      <alignment horizontal="center"/>
      <protection locked="0"/>
    </xf>
    <xf numFmtId="0" fontId="1" fillId="0" borderId="16" xfId="3" applyBorder="1" applyAlignment="1" applyProtection="1">
      <alignment horizontal="center"/>
      <protection locked="0"/>
    </xf>
    <xf numFmtId="0" fontId="1" fillId="0" borderId="17" xfId="3" applyBorder="1" applyAlignment="1" applyProtection="1">
      <alignment horizontal="center"/>
      <protection locked="0"/>
    </xf>
    <xf numFmtId="0" fontId="3" fillId="0" borderId="9" xfId="3" applyFont="1" applyBorder="1" applyAlignment="1" applyProtection="1">
      <alignment horizontal="center"/>
      <protection locked="0"/>
    </xf>
    <xf numFmtId="0" fontId="3" fillId="0" borderId="10" xfId="3" applyFont="1" applyBorder="1" applyAlignment="1" applyProtection="1">
      <alignment horizontal="center"/>
      <protection locked="0"/>
    </xf>
    <xf numFmtId="0" fontId="3" fillId="0" borderId="4" xfId="3" applyFont="1" applyBorder="1" applyAlignment="1" applyProtection="1">
      <alignment horizontal="center"/>
      <protection locked="0"/>
    </xf>
    <xf numFmtId="0" fontId="3" fillId="0" borderId="11" xfId="3" applyFont="1" applyBorder="1" applyAlignment="1" applyProtection="1">
      <alignment horizontal="center"/>
      <protection locked="0"/>
    </xf>
    <xf numFmtId="0" fontId="59" fillId="41" borderId="1" xfId="3" applyFont="1" applyFill="1" applyBorder="1" applyAlignment="1" applyProtection="1">
      <alignment horizontal="center"/>
      <protection locked="0"/>
    </xf>
    <xf numFmtId="0" fontId="59" fillId="41" borderId="2" xfId="3" applyFont="1" applyFill="1" applyBorder="1" applyAlignment="1" applyProtection="1">
      <alignment horizontal="center"/>
      <protection locked="0"/>
    </xf>
    <xf numFmtId="0" fontId="59" fillId="41" borderId="3" xfId="3" applyFont="1" applyFill="1" applyBorder="1" applyAlignment="1" applyProtection="1">
      <alignment horizontal="center"/>
      <protection locked="0"/>
    </xf>
    <xf numFmtId="0" fontId="3" fillId="41" borderId="9" xfId="3" applyFont="1" applyFill="1" applyBorder="1" applyAlignment="1" applyProtection="1">
      <alignment horizontal="center"/>
      <protection locked="0"/>
    </xf>
    <xf numFmtId="0" fontId="3" fillId="41" borderId="10" xfId="3" applyFont="1" applyFill="1" applyBorder="1" applyAlignment="1" applyProtection="1">
      <alignment horizontal="center"/>
      <protection locked="0"/>
    </xf>
    <xf numFmtId="0" fontId="3" fillId="41" borderId="11" xfId="3" applyFont="1" applyFill="1" applyBorder="1" applyAlignment="1" applyProtection="1">
      <alignment horizontal="center"/>
      <protection locked="0"/>
    </xf>
    <xf numFmtId="0" fontId="44" fillId="0" borderId="56" xfId="3" applyFont="1" applyBorder="1" applyAlignment="1" applyProtection="1">
      <alignment horizontal="left" vertical="center"/>
      <protection locked="0"/>
    </xf>
    <xf numFmtId="0" fontId="3" fillId="37" borderId="9" xfId="3" applyFont="1" applyFill="1" applyBorder="1" applyAlignment="1" applyProtection="1">
      <alignment horizontal="left" vertical="top"/>
      <protection locked="0"/>
    </xf>
    <xf numFmtId="0" fontId="1" fillId="37" borderId="10" xfId="3" applyFill="1" applyBorder="1" applyAlignment="1" applyProtection="1">
      <alignment horizontal="left" vertical="top"/>
      <protection locked="0"/>
    </xf>
    <xf numFmtId="0" fontId="1" fillId="37" borderId="11" xfId="3" applyFill="1" applyBorder="1" applyAlignment="1" applyProtection="1">
      <alignment horizontal="left" vertical="top"/>
      <protection locked="0"/>
    </xf>
    <xf numFmtId="0" fontId="1" fillId="37" borderId="55" xfId="3" applyFill="1" applyBorder="1" applyAlignment="1" applyProtection="1">
      <alignment horizontal="left" vertical="top"/>
      <protection locked="0"/>
    </xf>
    <xf numFmtId="0" fontId="1" fillId="37" borderId="26" xfId="3" applyFill="1" applyBorder="1" applyAlignment="1" applyProtection="1">
      <alignment horizontal="left" vertical="top"/>
      <protection locked="0"/>
    </xf>
    <xf numFmtId="0" fontId="1" fillId="37" borderId="60" xfId="3" applyFill="1" applyBorder="1" applyAlignment="1" applyProtection="1">
      <alignment horizontal="left" vertical="top"/>
      <protection locked="0"/>
    </xf>
    <xf numFmtId="0" fontId="3" fillId="39" borderId="1" xfId="3" applyFont="1" applyFill="1" applyBorder="1" applyAlignment="1" applyProtection="1">
      <alignment horizontal="center" vertical="center"/>
      <protection locked="0"/>
    </xf>
    <xf numFmtId="0" fontId="3" fillId="39" borderId="2" xfId="3" applyFont="1" applyFill="1" applyBorder="1" applyAlignment="1" applyProtection="1">
      <alignment horizontal="center" vertical="center"/>
      <protection locked="0"/>
    </xf>
    <xf numFmtId="0" fontId="3" fillId="39" borderId="3" xfId="3" applyFont="1" applyFill="1" applyBorder="1" applyAlignment="1" applyProtection="1">
      <alignment horizontal="center" vertical="center"/>
      <protection locked="0"/>
    </xf>
    <xf numFmtId="0" fontId="1" fillId="37" borderId="24" xfId="3" applyFill="1" applyBorder="1" applyAlignment="1" applyProtection="1">
      <alignment horizontal="left"/>
      <protection locked="0"/>
    </xf>
    <xf numFmtId="0" fontId="1" fillId="37" borderId="51" xfId="3" applyFill="1" applyBorder="1" applyAlignment="1" applyProtection="1">
      <alignment horizontal="left"/>
      <protection locked="0"/>
    </xf>
    <xf numFmtId="0" fontId="1" fillId="37" borderId="66" xfId="3" applyFill="1" applyBorder="1" applyAlignment="1" applyProtection="1">
      <alignment horizontal="left"/>
      <protection locked="0"/>
    </xf>
    <xf numFmtId="0" fontId="27" fillId="0" borderId="0" xfId="3" applyFont="1" applyAlignment="1">
      <alignment horizontal="center"/>
    </xf>
    <xf numFmtId="0" fontId="1" fillId="0" borderId="1" xfId="3" applyBorder="1" applyAlignment="1">
      <alignment horizontal="left" vertical="center"/>
    </xf>
    <xf numFmtId="0" fontId="1" fillId="0" borderId="2" xfId="3" applyBorder="1" applyAlignment="1">
      <alignment horizontal="left" vertical="center"/>
    </xf>
    <xf numFmtId="0" fontId="1" fillId="0" borderId="3" xfId="3" applyBorder="1" applyAlignment="1">
      <alignment horizontal="left" vertical="center"/>
    </xf>
    <xf numFmtId="0" fontId="3" fillId="4" borderId="1" xfId="3" quotePrefix="1" applyFont="1" applyFill="1" applyBorder="1" applyAlignment="1">
      <alignment horizontal="center" vertical="center"/>
    </xf>
    <xf numFmtId="0" fontId="3" fillId="4" borderId="3" xfId="3" applyFont="1" applyFill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8" fillId="0" borderId="8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center" vertical="center" wrapText="1"/>
    </xf>
    <xf numFmtId="0" fontId="3" fillId="0" borderId="60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8" fillId="0" borderId="52" xfId="0" applyFont="1" applyBorder="1" applyAlignment="1">
      <alignment horizontal="left" vertical="center"/>
    </xf>
    <xf numFmtId="0" fontId="8" fillId="0" borderId="31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3" fillId="0" borderId="1" xfId="0" applyFont="1" applyBorder="1"/>
    <xf numFmtId="0" fontId="3" fillId="0" borderId="3" xfId="0" applyFont="1" applyBorder="1"/>
    <xf numFmtId="0" fontId="8" fillId="0" borderId="1" xfId="0" applyFont="1" applyBorder="1"/>
    <xf numFmtId="0" fontId="8" fillId="0" borderId="3" xfId="0" applyFont="1" applyBorder="1"/>
    <xf numFmtId="0" fontId="3" fillId="0" borderId="5" xfId="0" applyFont="1" applyBorder="1"/>
    <xf numFmtId="0" fontId="3" fillId="0" borderId="13" xfId="0" applyFont="1" applyBorder="1"/>
    <xf numFmtId="166" fontId="1" fillId="0" borderId="61" xfId="0" applyNumberFormat="1" applyFont="1" applyBorder="1" applyAlignment="1">
      <alignment horizontal="center" vertical="center" wrapText="1"/>
    </xf>
    <xf numFmtId="166" fontId="1" fillId="0" borderId="5" xfId="0" applyNumberFormat="1" applyFont="1" applyBorder="1" applyAlignment="1">
      <alignment horizontal="center" vertical="center" wrapText="1"/>
    </xf>
    <xf numFmtId="166" fontId="1" fillId="0" borderId="68" xfId="0" applyNumberFormat="1" applyFont="1" applyBorder="1" applyAlignment="1">
      <alignment horizontal="center" vertical="center" wrapText="1"/>
    </xf>
    <xf numFmtId="166" fontId="1" fillId="0" borderId="59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8" fillId="0" borderId="46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6" xfId="0" applyBorder="1" applyAlignment="1">
      <alignment horizontal="center"/>
    </xf>
    <xf numFmtId="0" fontId="45" fillId="0" borderId="0" xfId="0" applyFont="1" applyAlignment="1">
      <alignment horizontal="center" vertical="center"/>
    </xf>
    <xf numFmtId="0" fontId="45" fillId="0" borderId="56" xfId="0" applyFont="1" applyBorder="1" applyAlignment="1">
      <alignment horizontal="center" vertical="center"/>
    </xf>
    <xf numFmtId="0" fontId="12" fillId="42" borderId="9" xfId="0" applyFont="1" applyFill="1" applyBorder="1" applyAlignment="1">
      <alignment vertical="center" wrapText="1"/>
    </xf>
    <xf numFmtId="0" fontId="12" fillId="42" borderId="10" xfId="0" applyFont="1" applyFill="1" applyBorder="1" applyAlignment="1">
      <alignment vertical="center" wrapText="1"/>
    </xf>
    <xf numFmtId="0" fontId="12" fillId="42" borderId="11" xfId="0" applyFont="1" applyFill="1" applyBorder="1" applyAlignment="1">
      <alignment vertical="center" wrapText="1"/>
    </xf>
    <xf numFmtId="0" fontId="12" fillId="42" borderId="70" xfId="0" applyFont="1" applyFill="1" applyBorder="1" applyAlignment="1">
      <alignment vertical="center" wrapText="1"/>
    </xf>
    <xf numFmtId="0" fontId="12" fillId="42" borderId="0" xfId="0" applyFont="1" applyFill="1" applyAlignment="1">
      <alignment vertical="center" wrapText="1"/>
    </xf>
    <xf numFmtId="0" fontId="12" fillId="42" borderId="71" xfId="0" applyFont="1" applyFill="1" applyBorder="1" applyAlignment="1">
      <alignment vertical="center" wrapText="1"/>
    </xf>
    <xf numFmtId="0" fontId="12" fillId="42" borderId="5" xfId="0" applyFont="1" applyFill="1" applyBorder="1" applyAlignment="1">
      <alignment vertical="center" wrapText="1"/>
    </xf>
    <xf numFmtId="0" fontId="12" fillId="42" borderId="56" xfId="0" applyFont="1" applyFill="1" applyBorder="1" applyAlignment="1">
      <alignment vertical="center" wrapText="1"/>
    </xf>
    <xf numFmtId="0" fontId="12" fillId="42" borderId="13" xfId="0" applyFont="1" applyFill="1" applyBorder="1" applyAlignment="1">
      <alignment vertical="center" wrapText="1"/>
    </xf>
    <xf numFmtId="0" fontId="31" fillId="37" borderId="22" xfId="3" applyFont="1" applyFill="1" applyBorder="1" applyAlignment="1">
      <alignment horizontal="left" vertical="top" wrapText="1"/>
    </xf>
    <xf numFmtId="0" fontId="31" fillId="37" borderId="23" xfId="3" applyFont="1" applyFill="1" applyBorder="1" applyAlignment="1">
      <alignment horizontal="left" vertical="top" wrapText="1"/>
    </xf>
    <xf numFmtId="0" fontId="31" fillId="37" borderId="27" xfId="3" applyFont="1" applyFill="1" applyBorder="1" applyAlignment="1">
      <alignment horizontal="left" vertical="top" wrapText="1"/>
    </xf>
    <xf numFmtId="0" fontId="31" fillId="37" borderId="44" xfId="3" applyFont="1" applyFill="1" applyBorder="1" applyAlignment="1">
      <alignment horizontal="left" vertical="top" wrapText="1"/>
    </xf>
    <xf numFmtId="0" fontId="31" fillId="37" borderId="0" xfId="3" applyFont="1" applyFill="1" applyAlignment="1">
      <alignment horizontal="left" vertical="top" wrapText="1"/>
    </xf>
    <xf numFmtId="0" fontId="31" fillId="37" borderId="45" xfId="3" applyFont="1" applyFill="1" applyBorder="1" applyAlignment="1">
      <alignment horizontal="left" vertical="top" wrapText="1"/>
    </xf>
    <xf numFmtId="0" fontId="31" fillId="37" borderId="28" xfId="3" applyFont="1" applyFill="1" applyBorder="1" applyAlignment="1">
      <alignment horizontal="left" vertical="top" wrapText="1"/>
    </xf>
    <xf numFmtId="0" fontId="31" fillId="37" borderId="26" xfId="3" applyFont="1" applyFill="1" applyBorder="1" applyAlignment="1">
      <alignment horizontal="left" vertical="top" wrapText="1"/>
    </xf>
    <xf numFmtId="0" fontId="31" fillId="37" borderId="30" xfId="3" applyFont="1" applyFill="1" applyBorder="1" applyAlignment="1">
      <alignment horizontal="left" vertical="top" wrapText="1"/>
    </xf>
    <xf numFmtId="0" fontId="3" fillId="4" borderId="3" xfId="3" quotePrefix="1" applyFont="1" applyFill="1" applyBorder="1" applyAlignment="1">
      <alignment horizontal="center" vertical="center"/>
    </xf>
    <xf numFmtId="0" fontId="1" fillId="0" borderId="0" xfId="3" applyAlignment="1">
      <alignment horizontal="center" vertical="center"/>
    </xf>
    <xf numFmtId="0" fontId="1" fillId="37" borderId="1" xfId="3" applyFill="1" applyBorder="1" applyAlignment="1">
      <alignment horizontal="left" vertical="center"/>
    </xf>
    <xf numFmtId="0" fontId="1" fillId="37" borderId="2" xfId="3" applyFill="1" applyBorder="1" applyAlignment="1">
      <alignment horizontal="left" vertical="center"/>
    </xf>
    <xf numFmtId="0" fontId="1" fillId="37" borderId="3" xfId="3" applyFill="1" applyBorder="1" applyAlignment="1">
      <alignment horizontal="left" vertical="center"/>
    </xf>
    <xf numFmtId="14" fontId="3" fillId="37" borderId="1" xfId="3" applyNumberFormat="1" applyFont="1" applyFill="1" applyBorder="1" applyAlignment="1">
      <alignment horizontal="center" vertical="center"/>
    </xf>
    <xf numFmtId="0" fontId="3" fillId="37" borderId="3" xfId="3" applyFont="1" applyFill="1" applyBorder="1" applyAlignment="1">
      <alignment horizontal="center" vertical="center"/>
    </xf>
    <xf numFmtId="0" fontId="55" fillId="41" borderId="18" xfId="0" applyFont="1" applyFill="1" applyBorder="1" applyAlignment="1">
      <alignment horizontal="center" vertical="center"/>
    </xf>
    <xf numFmtId="0" fontId="24" fillId="48" borderId="18" xfId="0" applyFont="1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64" xfId="0" applyBorder="1" applyAlignment="1">
      <alignment horizontal="center"/>
    </xf>
    <xf numFmtId="0" fontId="24" fillId="48" borderId="28" xfId="0" applyFont="1" applyFill="1" applyBorder="1" applyAlignment="1">
      <alignment horizontal="center"/>
    </xf>
    <xf numFmtId="0" fontId="24" fillId="48" borderId="26" xfId="0" applyFont="1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24" fillId="48" borderId="57" xfId="0" applyFont="1" applyFill="1" applyBorder="1" applyAlignment="1">
      <alignment horizontal="center"/>
    </xf>
    <xf numFmtId="0" fontId="24" fillId="48" borderId="64" xfId="0" applyFont="1" applyFill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24" fillId="48" borderId="44" xfId="0" applyFont="1" applyFill="1" applyBorder="1" applyAlignment="1">
      <alignment horizontal="center"/>
    </xf>
    <xf numFmtId="0" fontId="24" fillId="48" borderId="0" xfId="0" applyFont="1" applyFill="1" applyAlignment="1">
      <alignment horizontal="center"/>
    </xf>
    <xf numFmtId="0" fontId="0" fillId="0" borderId="18" xfId="0" applyBorder="1" applyAlignment="1">
      <alignment horizontal="center"/>
    </xf>
    <xf numFmtId="0" fontId="51" fillId="38" borderId="64" xfId="0" applyFont="1" applyFill="1" applyBorder="1" applyAlignment="1">
      <alignment horizontal="center" vertical="center"/>
    </xf>
    <xf numFmtId="0" fontId="51" fillId="38" borderId="18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8" fillId="0" borderId="57" xfId="0" applyFont="1" applyBorder="1" applyAlignment="1">
      <alignment horizontal="center"/>
    </xf>
    <xf numFmtId="0" fontId="8" fillId="0" borderId="64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3" xfId="0" applyBorder="1" applyAlignment="1">
      <alignment horizontal="center"/>
    </xf>
    <xf numFmtId="0" fontId="24" fillId="48" borderId="30" xfId="0" applyFont="1" applyFill="1" applyBorder="1" applyAlignment="1">
      <alignment horizontal="center"/>
    </xf>
    <xf numFmtId="0" fontId="40" fillId="46" borderId="1" xfId="0" applyFont="1" applyFill="1" applyBorder="1" applyAlignment="1">
      <alignment horizontal="center" vertical="center"/>
    </xf>
    <xf numFmtId="0" fontId="40" fillId="46" borderId="2" xfId="0" applyFont="1" applyFill="1" applyBorder="1" applyAlignment="1">
      <alignment horizontal="center" vertical="center"/>
    </xf>
    <xf numFmtId="0" fontId="40" fillId="46" borderId="3" xfId="0" applyFont="1" applyFill="1" applyBorder="1" applyAlignment="1">
      <alignment horizontal="center" vertical="center"/>
    </xf>
    <xf numFmtId="0" fontId="8" fillId="44" borderId="20" xfId="0" applyFont="1" applyFill="1" applyBorder="1" applyAlignment="1">
      <alignment horizontal="center" vertical="center"/>
    </xf>
    <xf numFmtId="0" fontId="40" fillId="45" borderId="74" xfId="0" applyFont="1" applyFill="1" applyBorder="1" applyAlignment="1">
      <alignment horizontal="center" vertical="center"/>
    </xf>
    <xf numFmtId="0" fontId="40" fillId="45" borderId="75" xfId="0" applyFont="1" applyFill="1" applyBorder="1" applyAlignment="1">
      <alignment horizontal="center" vertical="center"/>
    </xf>
    <xf numFmtId="0" fontId="40" fillId="45" borderId="76" xfId="0" applyFont="1" applyFill="1" applyBorder="1" applyAlignment="1">
      <alignment horizontal="center" vertical="center"/>
    </xf>
    <xf numFmtId="0" fontId="51" fillId="38" borderId="1" xfId="0" applyFont="1" applyFill="1" applyBorder="1" applyAlignment="1">
      <alignment horizontal="center" vertical="center"/>
    </xf>
    <xf numFmtId="0" fontId="51" fillId="38" borderId="2" xfId="0" applyFont="1" applyFill="1" applyBorder="1" applyAlignment="1">
      <alignment horizontal="center" vertical="center"/>
    </xf>
    <xf numFmtId="0" fontId="51" fillId="38" borderId="3" xfId="0" applyFont="1" applyFill="1" applyBorder="1" applyAlignment="1">
      <alignment horizontal="center" vertical="center"/>
    </xf>
    <xf numFmtId="0" fontId="51" fillId="38" borderId="9" xfId="0" applyFont="1" applyFill="1" applyBorder="1" applyAlignment="1">
      <alignment horizontal="center" vertical="center"/>
    </xf>
    <xf numFmtId="0" fontId="51" fillId="38" borderId="10" xfId="0" applyFont="1" applyFill="1" applyBorder="1" applyAlignment="1">
      <alignment horizontal="center" vertical="center"/>
    </xf>
    <xf numFmtId="0" fontId="51" fillId="38" borderId="11" xfId="0" applyFont="1" applyFill="1" applyBorder="1" applyAlignment="1">
      <alignment horizontal="center" vertical="center"/>
    </xf>
    <xf numFmtId="0" fontId="0" fillId="4" borderId="57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4" borderId="64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4" borderId="51" xfId="0" applyFill="1" applyBorder="1" applyAlignment="1">
      <alignment horizontal="center"/>
    </xf>
    <xf numFmtId="0" fontId="0" fillId="4" borderId="78" xfId="0" applyFill="1" applyBorder="1" applyAlignment="1">
      <alignment horizontal="center"/>
    </xf>
    <xf numFmtId="0" fontId="40" fillId="38" borderId="1" xfId="0" applyFont="1" applyFill="1" applyBorder="1" applyAlignment="1">
      <alignment horizontal="center" vertical="center"/>
    </xf>
    <xf numFmtId="0" fontId="40" fillId="38" borderId="2" xfId="0" applyFont="1" applyFill="1" applyBorder="1" applyAlignment="1">
      <alignment horizontal="center" vertical="center"/>
    </xf>
    <xf numFmtId="0" fontId="40" fillId="38" borderId="3" xfId="0" applyFont="1" applyFill="1" applyBorder="1" applyAlignment="1">
      <alignment horizontal="center" vertical="center"/>
    </xf>
    <xf numFmtId="0" fontId="40" fillId="38" borderId="74" xfId="0" applyFont="1" applyFill="1" applyBorder="1" applyAlignment="1">
      <alignment horizontal="center" vertical="center"/>
    </xf>
    <xf numFmtId="0" fontId="40" fillId="38" borderId="75" xfId="0" applyFont="1" applyFill="1" applyBorder="1" applyAlignment="1">
      <alignment horizontal="center" vertical="center"/>
    </xf>
    <xf numFmtId="0" fontId="40" fillId="38" borderId="76" xfId="0" applyFont="1" applyFill="1" applyBorder="1" applyAlignment="1">
      <alignment horizontal="center" vertical="center"/>
    </xf>
    <xf numFmtId="0" fontId="0" fillId="4" borderId="18" xfId="0" applyFill="1" applyBorder="1" applyAlignment="1">
      <alignment horizontal="center"/>
    </xf>
    <xf numFmtId="1" fontId="41" fillId="4" borderId="57" xfId="137" applyNumberFormat="1" applyFont="1" applyFill="1" applyBorder="1" applyAlignment="1">
      <alignment horizontal="center" vertical="center"/>
    </xf>
    <xf numFmtId="1" fontId="41" fillId="4" borderId="64" xfId="137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" fillId="56" borderId="55" xfId="3" applyFill="1" applyBorder="1" applyAlignment="1" applyProtection="1">
      <alignment horizontal="center" vertical="center"/>
      <protection locked="0"/>
    </xf>
    <xf numFmtId="14" fontId="2" fillId="56" borderId="48" xfId="3" applyNumberFormat="1" applyFont="1" applyFill="1" applyBorder="1" applyAlignment="1" applyProtection="1">
      <alignment horizontal="center" vertical="center"/>
      <protection locked="0"/>
    </xf>
    <xf numFmtId="1" fontId="1" fillId="56" borderId="7" xfId="3" applyNumberFormat="1" applyFill="1" applyBorder="1" applyAlignment="1">
      <alignment horizontal="center" vertical="center"/>
    </xf>
    <xf numFmtId="1" fontId="1" fillId="56" borderId="18" xfId="3" applyNumberFormat="1" applyFill="1" applyBorder="1" applyAlignment="1">
      <alignment horizontal="center" vertical="center"/>
    </xf>
    <xf numFmtId="166" fontId="29" fillId="56" borderId="19" xfId="4" applyNumberFormat="1" applyFont="1" applyFill="1" applyBorder="1" applyAlignment="1" applyProtection="1">
      <alignment horizontal="center" vertical="center"/>
    </xf>
    <xf numFmtId="166" fontId="33" fillId="56" borderId="18" xfId="4" applyNumberFormat="1" applyFont="1" applyFill="1" applyBorder="1" applyAlignment="1" applyProtection="1">
      <alignment horizontal="center" vertical="center"/>
    </xf>
    <xf numFmtId="164" fontId="1" fillId="56" borderId="18" xfId="3" applyNumberFormat="1" applyFill="1" applyBorder="1" applyAlignment="1">
      <alignment horizontal="center" vertical="center"/>
    </xf>
    <xf numFmtId="1" fontId="1" fillId="56" borderId="19" xfId="3" applyNumberFormat="1" applyFill="1" applyBorder="1" applyAlignment="1">
      <alignment horizontal="center" vertical="center" wrapText="1"/>
    </xf>
    <xf numFmtId="0" fontId="29" fillId="56" borderId="7" xfId="3" applyFont="1" applyFill="1" applyBorder="1" applyAlignment="1" applyProtection="1">
      <alignment horizontal="center" vertical="center"/>
      <protection locked="0"/>
    </xf>
    <xf numFmtId="164" fontId="29" fillId="56" borderId="18" xfId="3" applyNumberFormat="1" applyFont="1" applyFill="1" applyBorder="1" applyAlignment="1">
      <alignment horizontal="center" vertical="center"/>
    </xf>
    <xf numFmtId="1" fontId="29" fillId="56" borderId="18" xfId="3" applyNumberFormat="1" applyFont="1" applyFill="1" applyBorder="1" applyAlignment="1">
      <alignment horizontal="center" vertical="center"/>
    </xf>
    <xf numFmtId="166" fontId="33" fillId="56" borderId="19" xfId="3" applyNumberFormat="1" applyFont="1" applyFill="1" applyBorder="1" applyAlignment="1">
      <alignment horizontal="center" vertical="center" wrapText="1"/>
    </xf>
    <xf numFmtId="49" fontId="2" fillId="56" borderId="54" xfId="3" applyNumberFormat="1" applyFont="1" applyFill="1" applyBorder="1" applyAlignment="1" applyProtection="1">
      <alignment horizontal="center" vertical="center"/>
      <protection locked="0"/>
    </xf>
    <xf numFmtId="0" fontId="2" fillId="56" borderId="54" xfId="3" applyFont="1" applyFill="1" applyBorder="1" applyAlignment="1" applyProtection="1">
      <alignment horizontal="center" vertical="center"/>
      <protection locked="0"/>
    </xf>
    <xf numFmtId="0" fontId="1" fillId="56" borderId="54" xfId="3" applyFill="1" applyBorder="1" applyAlignment="1" applyProtection="1">
      <alignment horizontal="center" vertical="center"/>
      <protection locked="0"/>
    </xf>
    <xf numFmtId="0" fontId="1" fillId="56" borderId="31" xfId="3" applyFill="1" applyBorder="1" applyAlignment="1" applyProtection="1">
      <alignment horizontal="center" vertical="center" wrapText="1"/>
      <protection locked="0"/>
    </xf>
    <xf numFmtId="0" fontId="1" fillId="56" borderId="25" xfId="3" applyFill="1" applyBorder="1" applyAlignment="1" applyProtection="1">
      <alignment horizontal="center" vertical="center" wrapText="1"/>
      <protection locked="0"/>
    </xf>
    <xf numFmtId="0" fontId="1" fillId="56" borderId="65" xfId="3" applyFill="1" applyBorder="1" applyAlignment="1" applyProtection="1">
      <alignment horizontal="center" vertical="center" wrapText="1"/>
      <protection locked="0"/>
    </xf>
    <xf numFmtId="0" fontId="1" fillId="56" borderId="0" xfId="3" applyFill="1" applyProtection="1">
      <protection locked="0"/>
    </xf>
    <xf numFmtId="0" fontId="1" fillId="57" borderId="0" xfId="3" applyFill="1" applyProtection="1">
      <protection locked="0"/>
    </xf>
    <xf numFmtId="0" fontId="30" fillId="57" borderId="0" xfId="3" applyFont="1" applyFill="1" applyAlignment="1" applyProtection="1">
      <alignment horizontal="center" vertical="center"/>
      <protection locked="0"/>
    </xf>
    <xf numFmtId="0" fontId="1" fillId="57" borderId="0" xfId="3" applyFill="1" applyAlignment="1" applyProtection="1">
      <alignment vertical="center"/>
      <protection locked="0"/>
    </xf>
    <xf numFmtId="0" fontId="3" fillId="57" borderId="0" xfId="3" applyFont="1" applyFill="1" applyAlignment="1" applyProtection="1">
      <alignment vertical="center"/>
      <protection locked="0"/>
    </xf>
    <xf numFmtId="0" fontId="1" fillId="57" borderId="18" xfId="3" applyFill="1" applyBorder="1" applyAlignment="1" applyProtection="1">
      <alignment horizontal="center" vertical="center"/>
      <protection locked="0"/>
    </xf>
    <xf numFmtId="0" fontId="1" fillId="57" borderId="18" xfId="3" applyFill="1" applyBorder="1" applyAlignment="1" applyProtection="1">
      <alignment horizontal="center"/>
      <protection locked="0"/>
    </xf>
    <xf numFmtId="1" fontId="1" fillId="57" borderId="18" xfId="3" applyNumberFormat="1" applyFill="1" applyBorder="1" applyAlignment="1">
      <alignment horizontal="center" vertical="center"/>
    </xf>
    <xf numFmtId="1" fontId="1" fillId="57" borderId="77" xfId="3" applyNumberFormat="1" applyFill="1" applyBorder="1" applyAlignment="1">
      <alignment horizontal="center" vertical="center"/>
    </xf>
    <xf numFmtId="1" fontId="1" fillId="57" borderId="81" xfId="3" applyNumberFormat="1" applyFill="1" applyBorder="1" applyAlignment="1">
      <alignment horizontal="center" vertical="center"/>
    </xf>
    <xf numFmtId="1" fontId="1" fillId="57" borderId="53" xfId="3" applyNumberFormat="1" applyFill="1" applyBorder="1" applyAlignment="1">
      <alignment horizontal="center" vertical="center"/>
    </xf>
    <xf numFmtId="1" fontId="1" fillId="57" borderId="20" xfId="3" applyNumberFormat="1" applyFill="1" applyBorder="1" applyAlignment="1">
      <alignment horizontal="center" vertical="center"/>
    </xf>
    <xf numFmtId="1" fontId="3" fillId="57" borderId="22" xfId="3" applyNumberFormat="1" applyFont="1" applyFill="1" applyBorder="1" applyAlignment="1">
      <alignment horizontal="center"/>
    </xf>
    <xf numFmtId="166" fontId="1" fillId="57" borderId="28" xfId="3" applyNumberFormat="1" applyFill="1" applyBorder="1" applyAlignment="1">
      <alignment horizontal="center"/>
    </xf>
    <xf numFmtId="0" fontId="1" fillId="57" borderId="20" xfId="3" applyFill="1" applyBorder="1" applyAlignment="1" applyProtection="1">
      <alignment horizontal="center"/>
      <protection locked="0"/>
    </xf>
    <xf numFmtId="1" fontId="1" fillId="57" borderId="29" xfId="3" applyNumberFormat="1" applyFill="1" applyBorder="1" applyAlignment="1">
      <alignment horizontal="center" vertical="center"/>
    </xf>
    <xf numFmtId="1" fontId="1" fillId="57" borderId="18" xfId="3" applyNumberFormat="1" applyFill="1" applyBorder="1" applyAlignment="1" applyProtection="1">
      <alignment horizontal="center" vertical="center"/>
      <protection locked="0"/>
    </xf>
    <xf numFmtId="1" fontId="1" fillId="57" borderId="20" xfId="3" applyNumberFormat="1" applyFill="1" applyBorder="1" applyAlignment="1" applyProtection="1">
      <alignment horizontal="center" vertical="center"/>
      <protection locked="0"/>
    </xf>
    <xf numFmtId="1" fontId="1" fillId="57" borderId="53" xfId="3" applyNumberFormat="1" applyFill="1" applyBorder="1" applyAlignment="1">
      <alignment horizontal="center"/>
    </xf>
    <xf numFmtId="0" fontId="11" fillId="57" borderId="2" xfId="3" applyFont="1" applyFill="1" applyBorder="1" applyProtection="1">
      <protection locked="0"/>
    </xf>
    <xf numFmtId="0" fontId="1" fillId="57" borderId="3" xfId="3" applyFill="1" applyBorder="1" applyProtection="1">
      <protection locked="0"/>
    </xf>
    <xf numFmtId="0" fontId="1" fillId="52" borderId="55" xfId="3" applyFill="1" applyBorder="1" applyAlignment="1" applyProtection="1">
      <alignment horizontal="center" vertical="center"/>
      <protection locked="0"/>
    </xf>
    <xf numFmtId="14" fontId="2" fillId="52" borderId="48" xfId="3" applyNumberFormat="1" applyFont="1" applyFill="1" applyBorder="1" applyAlignment="1" applyProtection="1">
      <alignment horizontal="center" vertical="center"/>
      <protection locked="0"/>
    </xf>
    <xf numFmtId="1" fontId="1" fillId="52" borderId="81" xfId="3" applyNumberFormat="1" applyFill="1" applyBorder="1" applyAlignment="1">
      <alignment horizontal="center" vertical="center"/>
    </xf>
    <xf numFmtId="1" fontId="1" fillId="52" borderId="53" xfId="3" applyNumberFormat="1" applyFill="1" applyBorder="1" applyAlignment="1">
      <alignment horizontal="center" vertical="center"/>
    </xf>
    <xf numFmtId="166" fontId="29" fillId="52" borderId="19" xfId="4" applyNumberFormat="1" applyFont="1" applyFill="1" applyBorder="1" applyAlignment="1" applyProtection="1">
      <alignment horizontal="center" vertical="center"/>
    </xf>
    <xf numFmtId="166" fontId="33" fillId="52" borderId="18" xfId="4" applyNumberFormat="1" applyFont="1" applyFill="1" applyBorder="1" applyAlignment="1" applyProtection="1">
      <alignment horizontal="center" vertical="center"/>
    </xf>
    <xf numFmtId="164" fontId="1" fillId="52" borderId="53" xfId="3" applyNumberFormat="1" applyFill="1" applyBorder="1" applyAlignment="1">
      <alignment horizontal="center" vertical="center"/>
    </xf>
    <xf numFmtId="1" fontId="1" fillId="52" borderId="68" xfId="3" applyNumberFormat="1" applyFill="1" applyBorder="1" applyAlignment="1">
      <alignment horizontal="center" vertical="center" wrapText="1"/>
    </xf>
    <xf numFmtId="0" fontId="29" fillId="52" borderId="7" xfId="3" applyFont="1" applyFill="1" applyBorder="1" applyAlignment="1" applyProtection="1">
      <alignment horizontal="center" vertical="center"/>
      <protection locked="0"/>
    </xf>
    <xf numFmtId="164" fontId="29" fillId="52" borderId="18" xfId="3" applyNumberFormat="1" applyFont="1" applyFill="1" applyBorder="1" applyAlignment="1">
      <alignment horizontal="center" vertical="center"/>
    </xf>
    <xf numFmtId="1" fontId="29" fillId="52" borderId="18" xfId="3" applyNumberFormat="1" applyFont="1" applyFill="1" applyBorder="1" applyAlignment="1">
      <alignment horizontal="center" vertical="center"/>
    </xf>
    <xf numFmtId="166" fontId="33" fillId="52" borderId="19" xfId="3" applyNumberFormat="1" applyFont="1" applyFill="1" applyBorder="1" applyAlignment="1">
      <alignment horizontal="center" vertical="center" wrapText="1"/>
    </xf>
    <xf numFmtId="49" fontId="2" fillId="52" borderId="54" xfId="3" applyNumberFormat="1" applyFont="1" applyFill="1" applyBorder="1" applyAlignment="1" applyProtection="1">
      <alignment horizontal="center" vertical="center"/>
      <protection locked="0"/>
    </xf>
    <xf numFmtId="0" fontId="2" fillId="52" borderId="54" xfId="3" applyFont="1" applyFill="1" applyBorder="1" applyAlignment="1" applyProtection="1">
      <alignment horizontal="center" vertical="center"/>
      <protection locked="0"/>
    </xf>
    <xf numFmtId="0" fontId="1" fillId="52" borderId="54" xfId="3" applyFill="1" applyBorder="1" applyAlignment="1" applyProtection="1">
      <alignment horizontal="center" vertical="center"/>
      <protection locked="0"/>
    </xf>
    <xf numFmtId="0" fontId="1" fillId="52" borderId="31" xfId="3" applyFill="1" applyBorder="1" applyAlignment="1" applyProtection="1">
      <alignment horizontal="center" vertical="center" wrapText="1"/>
      <protection locked="0"/>
    </xf>
    <xf numFmtId="0" fontId="1" fillId="52" borderId="25" xfId="3" applyFill="1" applyBorder="1" applyAlignment="1" applyProtection="1">
      <alignment horizontal="center" vertical="center" wrapText="1"/>
      <protection locked="0"/>
    </xf>
    <xf numFmtId="0" fontId="1" fillId="52" borderId="65" xfId="3" applyFill="1" applyBorder="1" applyAlignment="1" applyProtection="1">
      <alignment horizontal="center" vertical="center" wrapText="1"/>
      <protection locked="0"/>
    </xf>
    <xf numFmtId="0" fontId="1" fillId="52" borderId="31" xfId="3" applyFill="1" applyBorder="1" applyAlignment="1" applyProtection="1">
      <alignment horizontal="center" vertical="center"/>
      <protection locked="0"/>
    </xf>
  </cellXfs>
  <cellStyles count="140">
    <cellStyle name="%20 - Vurgu1" xfId="111" builtinId="30" customBuiltin="1"/>
    <cellStyle name="%20 - Vurgu2" xfId="115" builtinId="34" customBuiltin="1"/>
    <cellStyle name="%20 - Vurgu3" xfId="119" builtinId="38" customBuiltin="1"/>
    <cellStyle name="%20 - Vurgu4" xfId="123" builtinId="42" customBuiltin="1"/>
    <cellStyle name="%20 - Vurgu5" xfId="127" builtinId="46" customBuiltin="1"/>
    <cellStyle name="%20 - Vurgu6" xfId="131" builtinId="50" customBuiltin="1"/>
    <cellStyle name="%40 - Vurgu1" xfId="112" builtinId="31" customBuiltin="1"/>
    <cellStyle name="%40 - Vurgu2" xfId="116" builtinId="35" customBuiltin="1"/>
    <cellStyle name="%40 - Vurgu3" xfId="120" builtinId="39" customBuiltin="1"/>
    <cellStyle name="%40 - Vurgu4" xfId="124" builtinId="43" customBuiltin="1"/>
    <cellStyle name="%40 - Vurgu5" xfId="128" builtinId="47" customBuiltin="1"/>
    <cellStyle name="%40 - Vurgu6" xfId="132" builtinId="51" customBuiltin="1"/>
    <cellStyle name="%60 - Vurgu1" xfId="113" builtinId="32" customBuiltin="1"/>
    <cellStyle name="%60 - Vurgu2" xfId="117" builtinId="36" customBuiltin="1"/>
    <cellStyle name="%60 - Vurgu3" xfId="121" builtinId="40" customBuiltin="1"/>
    <cellStyle name="%60 - Vurgu4" xfId="125" builtinId="44" customBuiltin="1"/>
    <cellStyle name="%60 - Vurgu5" xfId="129" builtinId="48" customBuiltin="1"/>
    <cellStyle name="%60 - Vurgu6" xfId="133" builtinId="52" customBuiltin="1"/>
    <cellStyle name="20% - Colore 1 2" xfId="25" xr:uid="{00000000-0005-0000-0000-000006000000}"/>
    <cellStyle name="20% - Colore 1 3" xfId="26" xr:uid="{00000000-0005-0000-0000-000007000000}"/>
    <cellStyle name="20% - Colore 1 4" xfId="27" xr:uid="{00000000-0005-0000-0000-000008000000}"/>
    <cellStyle name="20% - Colore 1 5" xfId="28" xr:uid="{00000000-0005-0000-0000-000009000000}"/>
    <cellStyle name="20% - Colore 1 6" xfId="29" xr:uid="{00000000-0005-0000-0000-00000A000000}"/>
    <cellStyle name="20% - Colore 2 2" xfId="30" xr:uid="{00000000-0005-0000-0000-00000B000000}"/>
    <cellStyle name="20% - Colore 2 3" xfId="31" xr:uid="{00000000-0005-0000-0000-00000C000000}"/>
    <cellStyle name="20% - Colore 2 4" xfId="32" xr:uid="{00000000-0005-0000-0000-00000D000000}"/>
    <cellStyle name="20% - Colore 2 5" xfId="33" xr:uid="{00000000-0005-0000-0000-00000E000000}"/>
    <cellStyle name="20% - Colore 2 6" xfId="34" xr:uid="{00000000-0005-0000-0000-00000F000000}"/>
    <cellStyle name="20% - Colore 3 2" xfId="35" xr:uid="{00000000-0005-0000-0000-000010000000}"/>
    <cellStyle name="20% - Colore 3 3" xfId="36" xr:uid="{00000000-0005-0000-0000-000011000000}"/>
    <cellStyle name="20% - Colore 3 4" xfId="37" xr:uid="{00000000-0005-0000-0000-000012000000}"/>
    <cellStyle name="20% - Colore 3 5" xfId="38" xr:uid="{00000000-0005-0000-0000-000013000000}"/>
    <cellStyle name="20% - Colore 3 6" xfId="39" xr:uid="{00000000-0005-0000-0000-000014000000}"/>
    <cellStyle name="20% - Colore 4 2" xfId="40" xr:uid="{00000000-0005-0000-0000-000015000000}"/>
    <cellStyle name="20% - Colore 4 3" xfId="41" xr:uid="{00000000-0005-0000-0000-000016000000}"/>
    <cellStyle name="20% - Colore 4 4" xfId="42" xr:uid="{00000000-0005-0000-0000-000017000000}"/>
    <cellStyle name="20% - Colore 4 5" xfId="43" xr:uid="{00000000-0005-0000-0000-000018000000}"/>
    <cellStyle name="20% - Colore 4 6" xfId="44" xr:uid="{00000000-0005-0000-0000-000019000000}"/>
    <cellStyle name="20% - Colore 5 2" xfId="45" xr:uid="{00000000-0005-0000-0000-00001A000000}"/>
    <cellStyle name="20% - Colore 5 3" xfId="46" xr:uid="{00000000-0005-0000-0000-00001B000000}"/>
    <cellStyle name="20% - Colore 5 4" xfId="47" xr:uid="{00000000-0005-0000-0000-00001C000000}"/>
    <cellStyle name="20% - Colore 5 5" xfId="48" xr:uid="{00000000-0005-0000-0000-00001D000000}"/>
    <cellStyle name="20% - Colore 5 6" xfId="49" xr:uid="{00000000-0005-0000-0000-00001E000000}"/>
    <cellStyle name="20% - Colore 6 2" xfId="50" xr:uid="{00000000-0005-0000-0000-00001F000000}"/>
    <cellStyle name="20% - Colore 6 3" xfId="51" xr:uid="{00000000-0005-0000-0000-000020000000}"/>
    <cellStyle name="20% - Colore 6 4" xfId="52" xr:uid="{00000000-0005-0000-0000-000021000000}"/>
    <cellStyle name="20% - Colore 6 5" xfId="53" xr:uid="{00000000-0005-0000-0000-000022000000}"/>
    <cellStyle name="20% - Colore 6 6" xfId="54" xr:uid="{00000000-0005-0000-0000-000023000000}"/>
    <cellStyle name="40% - Colore 1 2" xfId="55" xr:uid="{00000000-0005-0000-0000-00002A000000}"/>
    <cellStyle name="40% - Colore 1 3" xfId="56" xr:uid="{00000000-0005-0000-0000-00002B000000}"/>
    <cellStyle name="40% - Colore 1 4" xfId="57" xr:uid="{00000000-0005-0000-0000-00002C000000}"/>
    <cellStyle name="40% - Colore 1 5" xfId="58" xr:uid="{00000000-0005-0000-0000-00002D000000}"/>
    <cellStyle name="40% - Colore 1 6" xfId="59" xr:uid="{00000000-0005-0000-0000-00002E000000}"/>
    <cellStyle name="40% - Colore 2 2" xfId="60" xr:uid="{00000000-0005-0000-0000-00002F000000}"/>
    <cellStyle name="40% - Colore 2 3" xfId="61" xr:uid="{00000000-0005-0000-0000-000030000000}"/>
    <cellStyle name="40% - Colore 2 4" xfId="62" xr:uid="{00000000-0005-0000-0000-000031000000}"/>
    <cellStyle name="40% - Colore 2 5" xfId="63" xr:uid="{00000000-0005-0000-0000-000032000000}"/>
    <cellStyle name="40% - Colore 2 6" xfId="64" xr:uid="{00000000-0005-0000-0000-000033000000}"/>
    <cellStyle name="40% - Colore 3 2" xfId="65" xr:uid="{00000000-0005-0000-0000-000034000000}"/>
    <cellStyle name="40% - Colore 3 3" xfId="66" xr:uid="{00000000-0005-0000-0000-000035000000}"/>
    <cellStyle name="40% - Colore 3 4" xfId="67" xr:uid="{00000000-0005-0000-0000-000036000000}"/>
    <cellStyle name="40% - Colore 3 5" xfId="68" xr:uid="{00000000-0005-0000-0000-000037000000}"/>
    <cellStyle name="40% - Colore 3 6" xfId="69" xr:uid="{00000000-0005-0000-0000-000038000000}"/>
    <cellStyle name="40% - Colore 4 2" xfId="70" xr:uid="{00000000-0005-0000-0000-000039000000}"/>
    <cellStyle name="40% - Colore 4 3" xfId="71" xr:uid="{00000000-0005-0000-0000-00003A000000}"/>
    <cellStyle name="40% - Colore 4 4" xfId="72" xr:uid="{00000000-0005-0000-0000-00003B000000}"/>
    <cellStyle name="40% - Colore 4 5" xfId="73" xr:uid="{00000000-0005-0000-0000-00003C000000}"/>
    <cellStyle name="40% - Colore 4 6" xfId="74" xr:uid="{00000000-0005-0000-0000-00003D000000}"/>
    <cellStyle name="40% - Colore 5 2" xfId="75" xr:uid="{00000000-0005-0000-0000-00003E000000}"/>
    <cellStyle name="40% - Colore 5 3" xfId="76" xr:uid="{00000000-0005-0000-0000-00003F000000}"/>
    <cellStyle name="40% - Colore 5 4" xfId="77" xr:uid="{00000000-0005-0000-0000-000040000000}"/>
    <cellStyle name="40% - Colore 5 5" xfId="78" xr:uid="{00000000-0005-0000-0000-000041000000}"/>
    <cellStyle name="40% - Colore 5 6" xfId="79" xr:uid="{00000000-0005-0000-0000-000042000000}"/>
    <cellStyle name="40% - Colore 6 2" xfId="80" xr:uid="{00000000-0005-0000-0000-000043000000}"/>
    <cellStyle name="40% - Colore 6 3" xfId="81" xr:uid="{00000000-0005-0000-0000-000044000000}"/>
    <cellStyle name="40% - Colore 6 4" xfId="82" xr:uid="{00000000-0005-0000-0000-000045000000}"/>
    <cellStyle name="40% - Colore 6 5" xfId="83" xr:uid="{00000000-0005-0000-0000-000046000000}"/>
    <cellStyle name="40% - Colore 6 6" xfId="84" xr:uid="{00000000-0005-0000-0000-000047000000}"/>
    <cellStyle name="Açıklama Metni" xfId="108" builtinId="53" customBuiltin="1"/>
    <cellStyle name="Ana Başlık" xfId="93" builtinId="15" customBuiltin="1"/>
    <cellStyle name="Bağlı Hücre" xfId="104" builtinId="24" customBuiltin="1"/>
    <cellStyle name="Başlık 1" xfId="94" builtinId="16" customBuiltin="1"/>
    <cellStyle name="Başlık 2" xfId="95" builtinId="17" customBuiltin="1"/>
    <cellStyle name="Başlık 3" xfId="96" builtinId="18" customBuiltin="1"/>
    <cellStyle name="Başlık 4" xfId="97" builtinId="19" customBuiltin="1"/>
    <cellStyle name="Çıkış" xfId="102" builtinId="21" customBuiltin="1"/>
    <cellStyle name="Giriş" xfId="101" builtinId="20" customBuiltin="1"/>
    <cellStyle name="Hesaplama" xfId="103" builtinId="22" customBuiltin="1"/>
    <cellStyle name="İşaretli Hücre" xfId="105" builtinId="23" customBuiltin="1"/>
    <cellStyle name="İyi" xfId="98" builtinId="26" customBuiltin="1"/>
    <cellStyle name="Kötü" xfId="99" builtinId="27" customBuiltin="1"/>
    <cellStyle name="Migliaia 2" xfId="134" xr:uid="{00000000-0005-0000-0000-00005F000000}"/>
    <cellStyle name="Migliaia 2 2" xfId="135" xr:uid="{00000000-0005-0000-0000-000060000000}"/>
    <cellStyle name="Milliers 4" xfId="136" xr:uid="{00000000-0005-0000-0000-000061000000}"/>
    <cellStyle name="Milliers 4 2" xfId="139" xr:uid="{00000000-0005-0000-0000-000062000000}"/>
    <cellStyle name="Normal" xfId="0" builtinId="0"/>
    <cellStyle name="Normale 10" xfId="23" xr:uid="{00000000-0005-0000-0000-000065000000}"/>
    <cellStyle name="Normale 11" xfId="8" xr:uid="{00000000-0005-0000-0000-000066000000}"/>
    <cellStyle name="Normale 2" xfId="1" xr:uid="{00000000-0005-0000-0000-000067000000}"/>
    <cellStyle name="Normale 2 2" xfId="3" xr:uid="{00000000-0005-0000-0000-000068000000}"/>
    <cellStyle name="Normale 3" xfId="9" xr:uid="{00000000-0005-0000-0000-000069000000}"/>
    <cellStyle name="Normale 4" xfId="10" xr:uid="{00000000-0005-0000-0000-00006A000000}"/>
    <cellStyle name="Normale 4 2" xfId="11" xr:uid="{00000000-0005-0000-0000-00006B000000}"/>
    <cellStyle name="Normale 4 2 2" xfId="12" xr:uid="{00000000-0005-0000-0000-00006C000000}"/>
    <cellStyle name="Normale 4 3" xfId="13" xr:uid="{00000000-0005-0000-0000-00006D000000}"/>
    <cellStyle name="Normale 4 3 2" xfId="14" xr:uid="{00000000-0005-0000-0000-00006E000000}"/>
    <cellStyle name="Normale 5" xfId="85" xr:uid="{00000000-0005-0000-0000-00006F000000}"/>
    <cellStyle name="Normale 6" xfId="21" xr:uid="{00000000-0005-0000-0000-000070000000}"/>
    <cellStyle name="Normale 7" xfId="86" xr:uid="{00000000-0005-0000-0000-000071000000}"/>
    <cellStyle name="Normale 8" xfId="5" xr:uid="{00000000-0005-0000-0000-000072000000}"/>
    <cellStyle name="Normale 8 2" xfId="6" xr:uid="{00000000-0005-0000-0000-000073000000}"/>
    <cellStyle name="Normale 9" xfId="22" xr:uid="{00000000-0005-0000-0000-000074000000}"/>
    <cellStyle name="Normale_Foglio1" xfId="137" xr:uid="{00000000-0005-0000-0000-000075000000}"/>
    <cellStyle name="Not" xfId="107" builtinId="10" customBuiltin="1"/>
    <cellStyle name="Nota 2" xfId="87" xr:uid="{00000000-0005-0000-0000-000076000000}"/>
    <cellStyle name="Nota 3" xfId="88" xr:uid="{00000000-0005-0000-0000-000077000000}"/>
    <cellStyle name="Nota 4" xfId="89" xr:uid="{00000000-0005-0000-0000-000078000000}"/>
    <cellStyle name="Nota 5" xfId="90" xr:uid="{00000000-0005-0000-0000-000079000000}"/>
    <cellStyle name="Nota 6" xfId="91" xr:uid="{00000000-0005-0000-0000-00007A000000}"/>
    <cellStyle name="Nota 7" xfId="92" xr:uid="{00000000-0005-0000-0000-00007B000000}"/>
    <cellStyle name="Nötr" xfId="100" builtinId="28" customBuiltin="1"/>
    <cellStyle name="Percentuale 2" xfId="15" xr:uid="{00000000-0005-0000-0000-00007F000000}"/>
    <cellStyle name="Percentuale 2 2" xfId="138" xr:uid="{00000000-0005-0000-0000-000080000000}"/>
    <cellStyle name="Percentuale 3" xfId="16" xr:uid="{00000000-0005-0000-0000-000081000000}"/>
    <cellStyle name="Percentuale 3 2" xfId="24" xr:uid="{00000000-0005-0000-0000-000082000000}"/>
    <cellStyle name="Percentuale 4" xfId="17" xr:uid="{00000000-0005-0000-0000-000083000000}"/>
    <cellStyle name="Percentuale 4 2" xfId="18" xr:uid="{00000000-0005-0000-0000-000084000000}"/>
    <cellStyle name="Percentuale 4 2 2" xfId="4" xr:uid="{00000000-0005-0000-0000-000085000000}"/>
    <cellStyle name="Percentuale 4 3" xfId="19" xr:uid="{00000000-0005-0000-0000-000086000000}"/>
    <cellStyle name="Percentuale 4 3 2" xfId="20" xr:uid="{00000000-0005-0000-0000-000087000000}"/>
    <cellStyle name="Percentuale 5" xfId="7" xr:uid="{00000000-0005-0000-0000-000088000000}"/>
    <cellStyle name="Toplam" xfId="109" builtinId="25" customBuiltin="1"/>
    <cellStyle name="Uyarı Metni" xfId="106" builtinId="11" customBuiltin="1"/>
    <cellStyle name="Vurgu1" xfId="110" builtinId="29" customBuiltin="1"/>
    <cellStyle name="Vurgu2" xfId="114" builtinId="33" customBuiltin="1"/>
    <cellStyle name="Vurgu3" xfId="118" builtinId="37" customBuiltin="1"/>
    <cellStyle name="Vurgu4" xfId="122" builtinId="41" customBuiltin="1"/>
    <cellStyle name="Vurgu5" xfId="126" builtinId="45" customBuiltin="1"/>
    <cellStyle name="Vurgu6" xfId="130" builtinId="49" customBuiltin="1"/>
    <cellStyle name="Yüzde" xfId="2" builtinId="5"/>
  </cellStyles>
  <dxfs count="54">
    <dxf>
      <font>
        <color theme="1"/>
      </font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C5FFC5"/>
      <color rgb="FFFFFFA3"/>
      <color rgb="FF99FF99"/>
      <color rgb="FFFFFFCC"/>
      <color rgb="FFFFFF99"/>
      <color rgb="FF66FF66"/>
      <color rgb="FF66FFFF"/>
      <color rgb="FFD1FFFF"/>
      <color rgb="FF0000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3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589428</xdr:colOff>
      <xdr:row>3</xdr:row>
      <xdr:rowOff>132927</xdr:rowOff>
    </xdr:to>
    <xdr:pic>
      <xdr:nvPicPr>
        <xdr:cNvPr id="2" name="Resim 2">
          <a:extLst>
            <a:ext uri="{FF2B5EF4-FFF2-40B4-BE49-F238E27FC236}">
              <a16:creationId xmlns:a16="http://schemas.microsoft.com/office/drawing/2014/main" id="{403E6853-E36B-454E-91A7-3D65EEF5F4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648" b="18437"/>
        <a:stretch/>
      </xdr:blipFill>
      <xdr:spPr bwMode="auto">
        <a:xfrm>
          <a:off x="0" y="0"/>
          <a:ext cx="2581000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135956</xdr:colOff>
      <xdr:row>1</xdr:row>
      <xdr:rowOff>175135</xdr:rowOff>
    </xdr:from>
    <xdr:ext cx="418544" cy="603757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4872952-F356-4E6E-AF57-9A1D6E534EAD}"/>
            </a:ext>
          </a:extLst>
        </xdr:cNvPr>
        <xdr:cNvSpPr txBox="1"/>
      </xdr:nvSpPr>
      <xdr:spPr>
        <a:xfrm rot="18460962">
          <a:off x="16643141" y="3165625"/>
          <a:ext cx="6037573" cy="418544"/>
        </a:xfrm>
        <a:prstGeom prst="rect">
          <a:avLst/>
        </a:prstGeom>
        <a:solidFill>
          <a:srgbClr val="FF6969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2000">
              <a:solidFill>
                <a:sysClr val="windowText" lastClr="000000"/>
              </a:solidFill>
            </a:rPr>
            <a:t>Work in progress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13112</xdr:colOff>
      <xdr:row>33</xdr:row>
      <xdr:rowOff>11206</xdr:rowOff>
    </xdr:from>
    <xdr:ext cx="4258236" cy="28014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4A6F055-F2C2-4D79-82C8-2DFD838C01A7}"/>
            </a:ext>
          </a:extLst>
        </xdr:cNvPr>
        <xdr:cNvSpPr txBox="1"/>
      </xdr:nvSpPr>
      <xdr:spPr>
        <a:xfrm>
          <a:off x="15981494" y="5894294"/>
          <a:ext cx="4258236" cy="280147"/>
        </a:xfrm>
        <a:prstGeom prst="rect">
          <a:avLst/>
        </a:prstGeom>
        <a:solidFill>
          <a:srgbClr val="FF6969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2000">
              <a:solidFill>
                <a:sysClr val="windowText" lastClr="000000"/>
              </a:solidFill>
            </a:rPr>
            <a:t>Work in progress</a:t>
          </a:r>
        </a:p>
      </xdr:txBody>
    </xdr:sp>
    <xdr:clientData/>
  </xdr:oneCellAnchor>
  <xdr:twoCellAnchor editAs="oneCell">
    <xdr:from>
      <xdr:col>1</xdr:col>
      <xdr:colOff>1672159</xdr:colOff>
      <xdr:row>42</xdr:row>
      <xdr:rowOff>22860</xdr:rowOff>
    </xdr:from>
    <xdr:to>
      <xdr:col>1</xdr:col>
      <xdr:colOff>2169364</xdr:colOff>
      <xdr:row>42</xdr:row>
      <xdr:rowOff>171177</xdr:rowOff>
    </xdr:to>
    <xdr:pic>
      <xdr:nvPicPr>
        <xdr:cNvPr id="6" name="Immagine 34" descr="Ritaglio schermata">
          <a:extLst>
            <a:ext uri="{FF2B5EF4-FFF2-40B4-BE49-F238E27FC236}">
              <a16:creationId xmlns:a16="http://schemas.microsoft.com/office/drawing/2014/main" id="{97E998B7-AC3A-4CB3-81BC-750315936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7277" y="7642860"/>
          <a:ext cx="497205" cy="1483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1669821</xdr:colOff>
      <xdr:row>41</xdr:row>
      <xdr:rowOff>19049</xdr:rowOff>
    </xdr:from>
    <xdr:to>
      <xdr:col>1</xdr:col>
      <xdr:colOff>1965096</xdr:colOff>
      <xdr:row>41</xdr:row>
      <xdr:rowOff>174782</xdr:rowOff>
    </xdr:to>
    <xdr:pic>
      <xdr:nvPicPr>
        <xdr:cNvPr id="7" name="Immagine 35" descr="Ritaglio schermata">
          <a:extLst>
            <a:ext uri="{FF2B5EF4-FFF2-40B4-BE49-F238E27FC236}">
              <a16:creationId xmlns:a16="http://schemas.microsoft.com/office/drawing/2014/main" id="{1FEBD5E3-E0DE-46A6-AC07-FFE7B7FC8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4939" y="7459755"/>
          <a:ext cx="299085" cy="1519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1789019</xdr:colOff>
      <xdr:row>56</xdr:row>
      <xdr:rowOff>9525</xdr:rowOff>
    </xdr:from>
    <xdr:to>
      <xdr:col>1</xdr:col>
      <xdr:colOff>1996664</xdr:colOff>
      <xdr:row>57</xdr:row>
      <xdr:rowOff>1</xdr:rowOff>
    </xdr:to>
    <xdr:pic>
      <xdr:nvPicPr>
        <xdr:cNvPr id="8" name="Immagine 36" descr="Ritaglio schermata">
          <a:extLst>
            <a:ext uri="{FF2B5EF4-FFF2-40B4-BE49-F238E27FC236}">
              <a16:creationId xmlns:a16="http://schemas.microsoft.com/office/drawing/2014/main" id="{57B3FA30-49B4-41C3-93E8-15B485F4E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2019" y="4659630"/>
          <a:ext cx="211455" cy="1695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1769969</xdr:colOff>
      <xdr:row>57</xdr:row>
      <xdr:rowOff>19050</xdr:rowOff>
    </xdr:from>
    <xdr:to>
      <xdr:col>1</xdr:col>
      <xdr:colOff>1996664</xdr:colOff>
      <xdr:row>58</xdr:row>
      <xdr:rowOff>0</xdr:rowOff>
    </xdr:to>
    <xdr:pic>
      <xdr:nvPicPr>
        <xdr:cNvPr id="9" name="Immagine 37" descr="Ritaglio schermata">
          <a:extLst>
            <a:ext uri="{FF2B5EF4-FFF2-40B4-BE49-F238E27FC236}">
              <a16:creationId xmlns:a16="http://schemas.microsoft.com/office/drawing/2014/main" id="{2195D112-036E-46A5-8408-F3091ACA3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6779" y="4844415"/>
          <a:ext cx="226695" cy="165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1789019</xdr:colOff>
      <xdr:row>59</xdr:row>
      <xdr:rowOff>177614</xdr:rowOff>
    </xdr:from>
    <xdr:to>
      <xdr:col>1</xdr:col>
      <xdr:colOff>2074769</xdr:colOff>
      <xdr:row>60</xdr:row>
      <xdr:rowOff>171900</xdr:rowOff>
    </xdr:to>
    <xdr:pic>
      <xdr:nvPicPr>
        <xdr:cNvPr id="10" name="Immagine 38" descr="Ritaglio schermata">
          <a:extLst>
            <a:ext uri="{FF2B5EF4-FFF2-40B4-BE49-F238E27FC236}">
              <a16:creationId xmlns:a16="http://schemas.microsoft.com/office/drawing/2014/main" id="{8C139C7F-8488-43A7-B447-E6991C107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2019" y="5364929"/>
          <a:ext cx="289560" cy="1752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1970554</xdr:colOff>
      <xdr:row>61</xdr:row>
      <xdr:rowOff>20956</xdr:rowOff>
    </xdr:from>
    <xdr:to>
      <xdr:col>1</xdr:col>
      <xdr:colOff>2282974</xdr:colOff>
      <xdr:row>61</xdr:row>
      <xdr:rowOff>150496</xdr:rowOff>
    </xdr:to>
    <xdr:pic>
      <xdr:nvPicPr>
        <xdr:cNvPr id="11" name="Immagine 39" descr="Ritaglio schermata">
          <a:extLst>
            <a:ext uri="{FF2B5EF4-FFF2-40B4-BE49-F238E27FC236}">
              <a16:creationId xmlns:a16="http://schemas.microsoft.com/office/drawing/2014/main" id="{CD4CF11F-78BA-4801-80F5-6F8B7FAA2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1649" y="5570221"/>
          <a:ext cx="3143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1789019</xdr:colOff>
      <xdr:row>58</xdr:row>
      <xdr:rowOff>7845</xdr:rowOff>
    </xdr:from>
    <xdr:to>
      <xdr:col>1</xdr:col>
      <xdr:colOff>1996664</xdr:colOff>
      <xdr:row>58</xdr:row>
      <xdr:rowOff>171899</xdr:rowOff>
    </xdr:to>
    <xdr:pic>
      <xdr:nvPicPr>
        <xdr:cNvPr id="12" name="Immagine 40" descr="Ritaglio schermata">
          <a:extLst>
            <a:ext uri="{FF2B5EF4-FFF2-40B4-BE49-F238E27FC236}">
              <a16:creationId xmlns:a16="http://schemas.microsoft.com/office/drawing/2014/main" id="{94AB6BB3-9189-4D7A-B49E-1C0026A1B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2019" y="5019900"/>
          <a:ext cx="211455" cy="1583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1789019</xdr:colOff>
      <xdr:row>58</xdr:row>
      <xdr:rowOff>177614</xdr:rowOff>
    </xdr:from>
    <xdr:to>
      <xdr:col>1</xdr:col>
      <xdr:colOff>1996664</xdr:colOff>
      <xdr:row>59</xdr:row>
      <xdr:rowOff>173102</xdr:rowOff>
    </xdr:to>
    <xdr:pic>
      <xdr:nvPicPr>
        <xdr:cNvPr id="13" name="Immagine 41" descr="Ritaglio schermata">
          <a:extLst>
            <a:ext uri="{FF2B5EF4-FFF2-40B4-BE49-F238E27FC236}">
              <a16:creationId xmlns:a16="http://schemas.microsoft.com/office/drawing/2014/main" id="{1C8D6E2F-1A31-4261-A50B-251E357FC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2019" y="5183954"/>
          <a:ext cx="211455" cy="1764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2727960</xdr:colOff>
      <xdr:row>49</xdr:row>
      <xdr:rowOff>7620</xdr:rowOff>
    </xdr:from>
    <xdr:to>
      <xdr:col>1</xdr:col>
      <xdr:colOff>3048000</xdr:colOff>
      <xdr:row>49</xdr:row>
      <xdr:rowOff>173084</xdr:rowOff>
    </xdr:to>
    <xdr:pic>
      <xdr:nvPicPr>
        <xdr:cNvPr id="14" name="Immagine 43" descr="Ritaglio schermata">
          <a:extLst>
            <a:ext uri="{FF2B5EF4-FFF2-40B4-BE49-F238E27FC236}">
              <a16:creationId xmlns:a16="http://schemas.microsoft.com/office/drawing/2014/main" id="{F2A1516F-20FF-4741-B2BC-E7D90E07E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7150" y="3390900"/>
          <a:ext cx="323850" cy="1597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2666552</xdr:colOff>
      <xdr:row>50</xdr:row>
      <xdr:rowOff>15240</xdr:rowOff>
    </xdr:from>
    <xdr:to>
      <xdr:col>1</xdr:col>
      <xdr:colOff>3163757</xdr:colOff>
      <xdr:row>50</xdr:row>
      <xdr:rowOff>173082</xdr:rowOff>
    </xdr:to>
    <xdr:pic>
      <xdr:nvPicPr>
        <xdr:cNvPr id="15" name="Immagine 34" descr="Ritaglio schermata">
          <a:extLst>
            <a:ext uri="{FF2B5EF4-FFF2-40B4-BE49-F238E27FC236}">
              <a16:creationId xmlns:a16="http://schemas.microsoft.com/office/drawing/2014/main" id="{E3B20CBE-0077-45B6-B357-1BFDBC50A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552" y="3581400"/>
          <a:ext cx="497205" cy="1502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1645504</xdr:colOff>
      <xdr:row>46</xdr:row>
      <xdr:rowOff>15240</xdr:rowOff>
    </xdr:from>
    <xdr:ext cx="302895" cy="159543"/>
    <xdr:pic>
      <xdr:nvPicPr>
        <xdr:cNvPr id="16" name="Immagine 35" descr="Ritaglio schermata">
          <a:extLst>
            <a:ext uri="{FF2B5EF4-FFF2-40B4-BE49-F238E27FC236}">
              <a16:creationId xmlns:a16="http://schemas.microsoft.com/office/drawing/2014/main" id="{E9BF5625-12B0-449C-B54B-449D1C915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0409" y="2857500"/>
          <a:ext cx="302895" cy="15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594136</xdr:colOff>
      <xdr:row>2</xdr:row>
      <xdr:rowOff>18826</xdr:rowOff>
    </xdr:from>
    <xdr:ext cx="4258236" cy="28014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C6A452C-926B-4B79-B2BB-AE1812A85F84}"/>
            </a:ext>
          </a:extLst>
        </xdr:cNvPr>
        <xdr:cNvSpPr txBox="1"/>
      </xdr:nvSpPr>
      <xdr:spPr>
        <a:xfrm>
          <a:off x="15957401" y="388620"/>
          <a:ext cx="4258236" cy="280147"/>
        </a:xfrm>
        <a:prstGeom prst="rect">
          <a:avLst/>
        </a:prstGeom>
        <a:solidFill>
          <a:srgbClr val="FF6969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2000">
              <a:solidFill>
                <a:sysClr val="windowText" lastClr="000000"/>
              </a:solidFill>
            </a:rPr>
            <a:t>Work in progress</a:t>
          </a:r>
        </a:p>
      </xdr:txBody>
    </xdr:sp>
    <xdr:clientData/>
  </xdr:oneCellAnchor>
  <xdr:twoCellAnchor editAs="oneCell">
    <xdr:from>
      <xdr:col>1</xdr:col>
      <xdr:colOff>1656710</xdr:colOff>
      <xdr:row>44</xdr:row>
      <xdr:rowOff>22859</xdr:rowOff>
    </xdr:from>
    <xdr:to>
      <xdr:col>1</xdr:col>
      <xdr:colOff>1963415</xdr:colOff>
      <xdr:row>44</xdr:row>
      <xdr:rowOff>174782</xdr:rowOff>
    </xdr:to>
    <xdr:pic>
      <xdr:nvPicPr>
        <xdr:cNvPr id="18" name="Immagine 35" descr="Ritaglio schermata">
          <a:extLst>
            <a:ext uri="{FF2B5EF4-FFF2-40B4-BE49-F238E27FC236}">
              <a16:creationId xmlns:a16="http://schemas.microsoft.com/office/drawing/2014/main" id="{82931A0E-F925-4123-B25F-1F06491D5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1828" y="8180741"/>
          <a:ext cx="293370" cy="1481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1660953</xdr:colOff>
      <xdr:row>45</xdr:row>
      <xdr:rowOff>22860</xdr:rowOff>
    </xdr:from>
    <xdr:to>
      <xdr:col>1</xdr:col>
      <xdr:colOff>2154348</xdr:colOff>
      <xdr:row>45</xdr:row>
      <xdr:rowOff>173082</xdr:rowOff>
    </xdr:to>
    <xdr:pic>
      <xdr:nvPicPr>
        <xdr:cNvPr id="20" name="Immagine 34" descr="Ritaglio schermata">
          <a:extLst>
            <a:ext uri="{FF2B5EF4-FFF2-40B4-BE49-F238E27FC236}">
              <a16:creationId xmlns:a16="http://schemas.microsoft.com/office/drawing/2014/main" id="{C226D808-2C86-49F2-A144-1059A3744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071" y="8360036"/>
          <a:ext cx="497205" cy="1540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1672159</xdr:colOff>
      <xdr:row>11</xdr:row>
      <xdr:rowOff>22860</xdr:rowOff>
    </xdr:from>
    <xdr:ext cx="499110" cy="155937"/>
    <xdr:pic>
      <xdr:nvPicPr>
        <xdr:cNvPr id="21" name="Immagine 34" descr="Ritaglio schermata">
          <a:extLst>
            <a:ext uri="{FF2B5EF4-FFF2-40B4-BE49-F238E27FC236}">
              <a16:creationId xmlns:a16="http://schemas.microsoft.com/office/drawing/2014/main" id="{CF94CE3F-1800-4473-9954-5EE30821C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5372" y="7639050"/>
          <a:ext cx="499110" cy="1559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1669821</xdr:colOff>
      <xdr:row>10</xdr:row>
      <xdr:rowOff>19049</xdr:rowOff>
    </xdr:from>
    <xdr:ext cx="293370" cy="148113"/>
    <xdr:pic>
      <xdr:nvPicPr>
        <xdr:cNvPr id="22" name="Immagine 35" descr="Ritaglio schermata">
          <a:extLst>
            <a:ext uri="{FF2B5EF4-FFF2-40B4-BE49-F238E27FC236}">
              <a16:creationId xmlns:a16="http://schemas.microsoft.com/office/drawing/2014/main" id="{B8FB8DF8-8BFF-4108-A6F4-853D81E12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3034" y="7463565"/>
          <a:ext cx="293370" cy="1481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1789019</xdr:colOff>
      <xdr:row>25</xdr:row>
      <xdr:rowOff>9525</xdr:rowOff>
    </xdr:from>
    <xdr:ext cx="211455" cy="167865"/>
    <xdr:pic>
      <xdr:nvPicPr>
        <xdr:cNvPr id="23" name="Immagine 36" descr="Ritaglio schermata">
          <a:extLst>
            <a:ext uri="{FF2B5EF4-FFF2-40B4-BE49-F238E27FC236}">
              <a16:creationId xmlns:a16="http://schemas.microsoft.com/office/drawing/2014/main" id="{D77076D1-EB03-4E06-9D30-5A510D175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4137" y="10141548"/>
          <a:ext cx="211455" cy="167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1769969</xdr:colOff>
      <xdr:row>26</xdr:row>
      <xdr:rowOff>19050</xdr:rowOff>
    </xdr:from>
    <xdr:ext cx="226695" cy="164054"/>
    <xdr:pic>
      <xdr:nvPicPr>
        <xdr:cNvPr id="24" name="Immagine 37" descr="Ritaglio schermata">
          <a:extLst>
            <a:ext uri="{FF2B5EF4-FFF2-40B4-BE49-F238E27FC236}">
              <a16:creationId xmlns:a16="http://schemas.microsoft.com/office/drawing/2014/main" id="{DD68D5D1-19A2-438E-A183-FC86DF721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8897" y="10324652"/>
          <a:ext cx="226695" cy="1640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1789019</xdr:colOff>
      <xdr:row>28</xdr:row>
      <xdr:rowOff>177614</xdr:rowOff>
    </xdr:from>
    <xdr:ext cx="289560" cy="173580"/>
    <xdr:pic>
      <xdr:nvPicPr>
        <xdr:cNvPr id="25" name="Immagine 38" descr="Ritaglio schermata">
          <a:extLst>
            <a:ext uri="{FF2B5EF4-FFF2-40B4-BE49-F238E27FC236}">
              <a16:creationId xmlns:a16="http://schemas.microsoft.com/office/drawing/2014/main" id="{B5EE5E66-9CE5-495B-A228-19581CC19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4137" y="10841804"/>
          <a:ext cx="289560" cy="173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1970554</xdr:colOff>
      <xdr:row>30</xdr:row>
      <xdr:rowOff>20956</xdr:rowOff>
    </xdr:from>
    <xdr:ext cx="314325" cy="133350"/>
    <xdr:pic>
      <xdr:nvPicPr>
        <xdr:cNvPr id="26" name="Immagine 39" descr="Ritaglio schermata">
          <a:extLst>
            <a:ext uri="{FF2B5EF4-FFF2-40B4-BE49-F238E27FC236}">
              <a16:creationId xmlns:a16="http://schemas.microsoft.com/office/drawing/2014/main" id="{54F56396-9382-48DF-B71D-4D52FE31E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3767" y="11043734"/>
          <a:ext cx="3143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1789019</xdr:colOff>
      <xdr:row>27</xdr:row>
      <xdr:rowOff>7845</xdr:rowOff>
    </xdr:from>
    <xdr:ext cx="211455" cy="158339"/>
    <xdr:pic>
      <xdr:nvPicPr>
        <xdr:cNvPr id="27" name="Immagine 40" descr="Ritaglio schermata">
          <a:extLst>
            <a:ext uri="{FF2B5EF4-FFF2-40B4-BE49-F238E27FC236}">
              <a16:creationId xmlns:a16="http://schemas.microsoft.com/office/drawing/2014/main" id="{EA27766F-1347-4210-8509-284D46D50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4137" y="10498456"/>
          <a:ext cx="211455" cy="1583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1789019</xdr:colOff>
      <xdr:row>27</xdr:row>
      <xdr:rowOff>177614</xdr:rowOff>
    </xdr:from>
    <xdr:ext cx="211455" cy="174782"/>
    <xdr:pic>
      <xdr:nvPicPr>
        <xdr:cNvPr id="28" name="Immagine 41" descr="Ritaglio schermata">
          <a:extLst>
            <a:ext uri="{FF2B5EF4-FFF2-40B4-BE49-F238E27FC236}">
              <a16:creationId xmlns:a16="http://schemas.microsoft.com/office/drawing/2014/main" id="{061908A3-6192-47E5-A9D9-4505C451B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4137" y="10662510"/>
          <a:ext cx="211455" cy="174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2727960</xdr:colOff>
      <xdr:row>18</xdr:row>
      <xdr:rowOff>7620</xdr:rowOff>
    </xdr:from>
    <xdr:ext cx="323850" cy="159749"/>
    <xdr:pic>
      <xdr:nvPicPr>
        <xdr:cNvPr id="29" name="Immagine 43" descr="Ritaglio schermata">
          <a:extLst>
            <a:ext uri="{FF2B5EF4-FFF2-40B4-BE49-F238E27FC236}">
              <a16:creationId xmlns:a16="http://schemas.microsoft.com/office/drawing/2014/main" id="{1947C712-6FFE-4397-B77E-308877032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9268" y="8884584"/>
          <a:ext cx="323850" cy="1597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2666552</xdr:colOff>
      <xdr:row>19</xdr:row>
      <xdr:rowOff>15240</xdr:rowOff>
    </xdr:from>
    <xdr:ext cx="497205" cy="150222"/>
    <xdr:pic>
      <xdr:nvPicPr>
        <xdr:cNvPr id="30" name="Immagine 34" descr="Ritaglio schermata">
          <a:extLst>
            <a:ext uri="{FF2B5EF4-FFF2-40B4-BE49-F238E27FC236}">
              <a16:creationId xmlns:a16="http://schemas.microsoft.com/office/drawing/2014/main" id="{AEF83955-AC65-4076-B1D7-12FC5E1F4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1670" y="9073403"/>
          <a:ext cx="497205" cy="1502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1645504</xdr:colOff>
      <xdr:row>15</xdr:row>
      <xdr:rowOff>15240</xdr:rowOff>
    </xdr:from>
    <xdr:ext cx="302895" cy="159543"/>
    <xdr:pic>
      <xdr:nvPicPr>
        <xdr:cNvPr id="31" name="Immagine 35" descr="Ritaglio schermata">
          <a:extLst>
            <a:ext uri="{FF2B5EF4-FFF2-40B4-BE49-F238E27FC236}">
              <a16:creationId xmlns:a16="http://schemas.microsoft.com/office/drawing/2014/main" id="{4B7B26AB-E6CE-418F-AA38-F6FB75199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2527" y="8356226"/>
          <a:ext cx="302895" cy="15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1656710</xdr:colOff>
      <xdr:row>13</xdr:row>
      <xdr:rowOff>22859</xdr:rowOff>
    </xdr:from>
    <xdr:ext cx="299085" cy="151923"/>
    <xdr:pic>
      <xdr:nvPicPr>
        <xdr:cNvPr id="32" name="Immagine 35" descr="Ritaglio schermata">
          <a:extLst>
            <a:ext uri="{FF2B5EF4-FFF2-40B4-BE49-F238E27FC236}">
              <a16:creationId xmlns:a16="http://schemas.microsoft.com/office/drawing/2014/main" id="{F8EFF2B7-8372-4BB2-81B4-79F19454D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5638" y="7997637"/>
          <a:ext cx="299085" cy="1519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1660953</xdr:colOff>
      <xdr:row>14</xdr:row>
      <xdr:rowOff>22860</xdr:rowOff>
    </xdr:from>
    <xdr:ext cx="493395" cy="150222"/>
    <xdr:pic>
      <xdr:nvPicPr>
        <xdr:cNvPr id="33" name="Immagine 34" descr="Ritaglio schermata">
          <a:extLst>
            <a:ext uri="{FF2B5EF4-FFF2-40B4-BE49-F238E27FC236}">
              <a16:creationId xmlns:a16="http://schemas.microsoft.com/office/drawing/2014/main" id="{779B17AA-1BDC-4574-8BD6-4D5D6678E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2261" y="8176932"/>
          <a:ext cx="493395" cy="1502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302895</xdr:colOff>
      <xdr:row>10</xdr:row>
      <xdr:rowOff>4286</xdr:rowOff>
    </xdr:from>
    <xdr:to>
      <xdr:col>3</xdr:col>
      <xdr:colOff>15240</xdr:colOff>
      <xdr:row>11</xdr:row>
      <xdr:rowOff>29050</xdr:rowOff>
    </xdr:to>
    <xdr:pic>
      <xdr:nvPicPr>
        <xdr:cNvPr id="2" name="Immagine 32" descr="Ritaglio schermata">
          <a:extLst>
            <a:ext uri="{FF2B5EF4-FFF2-40B4-BE49-F238E27FC236}">
              <a16:creationId xmlns:a16="http://schemas.microsoft.com/office/drawing/2014/main" id="{1C5998DA-EE58-4BF1-84AD-59EF3812F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2095" y="2015966"/>
          <a:ext cx="321945" cy="1904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78105</xdr:colOff>
      <xdr:row>10</xdr:row>
      <xdr:rowOff>189071</xdr:rowOff>
    </xdr:from>
    <xdr:to>
      <xdr:col>2</xdr:col>
      <xdr:colOff>588645</xdr:colOff>
      <xdr:row>11</xdr:row>
      <xdr:rowOff>170021</xdr:rowOff>
    </xdr:to>
    <xdr:pic>
      <xdr:nvPicPr>
        <xdr:cNvPr id="3" name="Immagine 33" descr="Ritaglio schermata">
          <a:extLst>
            <a:ext uri="{FF2B5EF4-FFF2-40B4-BE49-F238E27FC236}">
              <a16:creationId xmlns:a16="http://schemas.microsoft.com/office/drawing/2014/main" id="{34657ACE-FB3C-44DF-AB04-A6E1C9839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7305" y="2189321"/>
          <a:ext cx="510540" cy="1847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105727</xdr:colOff>
      <xdr:row>14</xdr:row>
      <xdr:rowOff>7620</xdr:rowOff>
    </xdr:from>
    <xdr:to>
      <xdr:col>3</xdr:col>
      <xdr:colOff>2857</xdr:colOff>
      <xdr:row>14</xdr:row>
      <xdr:rowOff>175037</xdr:rowOff>
    </xdr:to>
    <xdr:pic>
      <xdr:nvPicPr>
        <xdr:cNvPr id="4" name="Immagine 34" descr="Ritaglio schermata">
          <a:extLst>
            <a:ext uri="{FF2B5EF4-FFF2-40B4-BE49-F238E27FC236}">
              <a16:creationId xmlns:a16="http://schemas.microsoft.com/office/drawing/2014/main" id="{E51B3906-3BAE-4BF3-B182-670D5DB39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3022" y="2743200"/>
          <a:ext cx="508635" cy="1731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290512</xdr:colOff>
      <xdr:row>12</xdr:row>
      <xdr:rowOff>179070</xdr:rowOff>
    </xdr:from>
    <xdr:to>
      <xdr:col>2</xdr:col>
      <xdr:colOff>606584</xdr:colOff>
      <xdr:row>13</xdr:row>
      <xdr:rowOff>180751</xdr:rowOff>
    </xdr:to>
    <xdr:pic>
      <xdr:nvPicPr>
        <xdr:cNvPr id="5" name="Immagine 35" descr="Ritaglio schermata">
          <a:extLst>
            <a:ext uri="{FF2B5EF4-FFF2-40B4-BE49-F238E27FC236}">
              <a16:creationId xmlns:a16="http://schemas.microsoft.com/office/drawing/2014/main" id="{B3D5635E-3A9B-480D-8713-523FBEA7F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5902" y="2548890"/>
          <a:ext cx="319882" cy="1883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2179320</xdr:colOff>
      <xdr:row>22</xdr:row>
      <xdr:rowOff>7620</xdr:rowOff>
    </xdr:from>
    <xdr:to>
      <xdr:col>3</xdr:col>
      <xdr:colOff>2389505</xdr:colOff>
      <xdr:row>23</xdr:row>
      <xdr:rowOff>29212</xdr:rowOff>
    </xdr:to>
    <xdr:pic>
      <xdr:nvPicPr>
        <xdr:cNvPr id="6" name="Immagine 36" descr="Ritaglio schermata">
          <a:extLst>
            <a:ext uri="{FF2B5EF4-FFF2-40B4-BE49-F238E27FC236}">
              <a16:creationId xmlns:a16="http://schemas.microsoft.com/office/drawing/2014/main" id="{FEAF9100-389B-48F0-A890-A04435778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025" y="4191000"/>
          <a:ext cx="196850" cy="1873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2164080</xdr:colOff>
      <xdr:row>23</xdr:row>
      <xdr:rowOff>22860</xdr:rowOff>
    </xdr:from>
    <xdr:to>
      <xdr:col>3</xdr:col>
      <xdr:colOff>2371725</xdr:colOff>
      <xdr:row>23</xdr:row>
      <xdr:rowOff>173355</xdr:rowOff>
    </xdr:to>
    <xdr:pic>
      <xdr:nvPicPr>
        <xdr:cNvPr id="7" name="Immagine 37" descr="Ritaglio schermata">
          <a:extLst>
            <a:ext uri="{FF2B5EF4-FFF2-40B4-BE49-F238E27FC236}">
              <a16:creationId xmlns:a16="http://schemas.microsoft.com/office/drawing/2014/main" id="{3A2DB81A-7E56-409E-982C-87D740DDE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0975" y="4381500"/>
          <a:ext cx="217170" cy="1543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2179320</xdr:colOff>
      <xdr:row>26</xdr:row>
      <xdr:rowOff>7620</xdr:rowOff>
    </xdr:from>
    <xdr:to>
      <xdr:col>3</xdr:col>
      <xdr:colOff>2463165</xdr:colOff>
      <xdr:row>27</xdr:row>
      <xdr:rowOff>28576</xdr:rowOff>
    </xdr:to>
    <xdr:pic>
      <xdr:nvPicPr>
        <xdr:cNvPr id="8" name="Immagine 38" descr="Ritaglio schermata">
          <a:extLst>
            <a:ext uri="{FF2B5EF4-FFF2-40B4-BE49-F238E27FC236}">
              <a16:creationId xmlns:a16="http://schemas.microsoft.com/office/drawing/2014/main" id="{A14B26D7-9ED3-48DA-8AC1-2612BFE9C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025" y="4914900"/>
          <a:ext cx="297180" cy="1866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2484120</xdr:colOff>
      <xdr:row>27</xdr:row>
      <xdr:rowOff>22860</xdr:rowOff>
    </xdr:from>
    <xdr:to>
      <xdr:col>3</xdr:col>
      <xdr:colOff>2808605</xdr:colOff>
      <xdr:row>27</xdr:row>
      <xdr:rowOff>132080</xdr:rowOff>
    </xdr:to>
    <xdr:pic>
      <xdr:nvPicPr>
        <xdr:cNvPr id="9" name="Immagine 39" descr="Ritaglio schermata">
          <a:extLst>
            <a:ext uri="{FF2B5EF4-FFF2-40B4-BE49-F238E27FC236}">
              <a16:creationId xmlns:a16="http://schemas.microsoft.com/office/drawing/2014/main" id="{57FAF4FC-661E-4125-AFF6-02FD503B8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4825" y="5105400"/>
          <a:ext cx="311150" cy="113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2179320</xdr:colOff>
      <xdr:row>24</xdr:row>
      <xdr:rowOff>22860</xdr:rowOff>
    </xdr:from>
    <xdr:to>
      <xdr:col>3</xdr:col>
      <xdr:colOff>2383155</xdr:colOff>
      <xdr:row>24</xdr:row>
      <xdr:rowOff>173355</xdr:rowOff>
    </xdr:to>
    <xdr:pic>
      <xdr:nvPicPr>
        <xdr:cNvPr id="10" name="Immagine 40" descr="Ritaglio schermata">
          <a:extLst>
            <a:ext uri="{FF2B5EF4-FFF2-40B4-BE49-F238E27FC236}">
              <a16:creationId xmlns:a16="http://schemas.microsoft.com/office/drawing/2014/main" id="{9953F17C-32C5-460D-8A90-02963CD36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025" y="4562475"/>
          <a:ext cx="201930" cy="1543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2179320</xdr:colOff>
      <xdr:row>25</xdr:row>
      <xdr:rowOff>7620</xdr:rowOff>
    </xdr:from>
    <xdr:to>
      <xdr:col>3</xdr:col>
      <xdr:colOff>2389505</xdr:colOff>
      <xdr:row>26</xdr:row>
      <xdr:rowOff>25400</xdr:rowOff>
    </xdr:to>
    <xdr:pic>
      <xdr:nvPicPr>
        <xdr:cNvPr id="11" name="Immagine 41" descr="Ritaglio schermata">
          <a:extLst>
            <a:ext uri="{FF2B5EF4-FFF2-40B4-BE49-F238E27FC236}">
              <a16:creationId xmlns:a16="http://schemas.microsoft.com/office/drawing/2014/main" id="{9DEF4401-D138-4884-9DAD-4578176FE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025" y="4733925"/>
          <a:ext cx="196850" cy="187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283845</xdr:colOff>
      <xdr:row>18</xdr:row>
      <xdr:rowOff>2381</xdr:rowOff>
    </xdr:from>
    <xdr:to>
      <xdr:col>3</xdr:col>
      <xdr:colOff>2540</xdr:colOff>
      <xdr:row>18</xdr:row>
      <xdr:rowOff>170021</xdr:rowOff>
    </xdr:to>
    <xdr:pic>
      <xdr:nvPicPr>
        <xdr:cNvPr id="12" name="Immagine 43" descr="Ritaglio schermata">
          <a:extLst>
            <a:ext uri="{FF2B5EF4-FFF2-40B4-BE49-F238E27FC236}">
              <a16:creationId xmlns:a16="http://schemas.microsoft.com/office/drawing/2014/main" id="{03A88ED3-0F36-4968-8507-94EB08C4B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6855" y="3459956"/>
          <a:ext cx="32448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536666</xdr:colOff>
      <xdr:row>35</xdr:row>
      <xdr:rowOff>166823</xdr:rowOff>
    </xdr:from>
    <xdr:to>
      <xdr:col>8</xdr:col>
      <xdr:colOff>21673</xdr:colOff>
      <xdr:row>37</xdr:row>
      <xdr:rowOff>20790</xdr:rowOff>
    </xdr:to>
    <xdr:pic>
      <xdr:nvPicPr>
        <xdr:cNvPr id="13" name="Immagine 1" descr="Ritaglio schermata">
          <a:extLst>
            <a:ext uri="{FF2B5EF4-FFF2-40B4-BE49-F238E27FC236}">
              <a16:creationId xmlns:a16="http://schemas.microsoft.com/office/drawing/2014/main" id="{F4EEA1EC-9AEE-478B-9CB4-01C49906E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0541" y="6714308"/>
          <a:ext cx="271772" cy="2006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579162</xdr:colOff>
      <xdr:row>36</xdr:row>
      <xdr:rowOff>217169</xdr:rowOff>
    </xdr:from>
    <xdr:to>
      <xdr:col>7</xdr:col>
      <xdr:colOff>744216</xdr:colOff>
      <xdr:row>38</xdr:row>
      <xdr:rowOff>40004</xdr:rowOff>
    </xdr:to>
    <xdr:pic>
      <xdr:nvPicPr>
        <xdr:cNvPr id="14" name="Immagine 2" descr="Ritaglio schermata">
          <a:extLst>
            <a:ext uri="{FF2B5EF4-FFF2-40B4-BE49-F238E27FC236}">
              <a16:creationId xmlns:a16="http://schemas.microsoft.com/office/drawing/2014/main" id="{2EF43DF9-ABA0-492E-BF43-65BC2FA17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24942" y="6938009"/>
          <a:ext cx="163149" cy="217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521970</xdr:colOff>
      <xdr:row>39</xdr:row>
      <xdr:rowOff>53341</xdr:rowOff>
    </xdr:from>
    <xdr:to>
      <xdr:col>7</xdr:col>
      <xdr:colOff>763326</xdr:colOff>
      <xdr:row>40</xdr:row>
      <xdr:rowOff>59057</xdr:rowOff>
    </xdr:to>
    <xdr:pic>
      <xdr:nvPicPr>
        <xdr:cNvPr id="15" name="Immagine 4" descr="Ritaglio schermata">
          <a:extLst>
            <a:ext uri="{FF2B5EF4-FFF2-40B4-BE49-F238E27FC236}">
              <a16:creationId xmlns:a16="http://schemas.microsoft.com/office/drawing/2014/main" id="{31E4475F-EA1D-4A6D-B93E-56DBECF23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3940" y="7372351"/>
          <a:ext cx="243261" cy="182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106680</xdr:colOff>
      <xdr:row>18</xdr:row>
      <xdr:rowOff>183356</xdr:rowOff>
    </xdr:from>
    <xdr:to>
      <xdr:col>3</xdr:col>
      <xdr:colOff>19527</xdr:colOff>
      <xdr:row>19</xdr:row>
      <xdr:rowOff>179321</xdr:rowOff>
    </xdr:to>
    <xdr:pic>
      <xdr:nvPicPr>
        <xdr:cNvPr id="16" name="Immagine 34" descr="Ritaglio schermata">
          <a:extLst>
            <a:ext uri="{FF2B5EF4-FFF2-40B4-BE49-F238E27FC236}">
              <a16:creationId xmlns:a16="http://schemas.microsoft.com/office/drawing/2014/main" id="{22122BD3-BA86-42E8-A37C-308D1A1C8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3975" y="3639026"/>
          <a:ext cx="524352" cy="1826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636270</xdr:colOff>
      <xdr:row>38</xdr:row>
      <xdr:rowOff>34290</xdr:rowOff>
    </xdr:from>
    <xdr:to>
      <xdr:col>7</xdr:col>
      <xdr:colOff>207645</xdr:colOff>
      <xdr:row>39</xdr:row>
      <xdr:rowOff>17779</xdr:rowOff>
    </xdr:to>
    <xdr:pic>
      <xdr:nvPicPr>
        <xdr:cNvPr id="17" name="Immagine 43" descr="Ritaglio schermata">
          <a:extLst>
            <a:ext uri="{FF2B5EF4-FFF2-40B4-BE49-F238E27FC236}">
              <a16:creationId xmlns:a16="http://schemas.microsoft.com/office/drawing/2014/main" id="{EEA930D9-9505-4D3D-8EEC-CCFE642F5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5765" y="7168515"/>
          <a:ext cx="325755" cy="1644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255270</xdr:colOff>
      <xdr:row>38</xdr:row>
      <xdr:rowOff>59055</xdr:rowOff>
    </xdr:from>
    <xdr:to>
      <xdr:col>7</xdr:col>
      <xdr:colOff>777240</xdr:colOff>
      <xdr:row>39</xdr:row>
      <xdr:rowOff>53974</xdr:rowOff>
    </xdr:to>
    <xdr:pic>
      <xdr:nvPicPr>
        <xdr:cNvPr id="18" name="Immagine 34" descr="Ritaglio schermata">
          <a:extLst>
            <a:ext uri="{FF2B5EF4-FFF2-40B4-BE49-F238E27FC236}">
              <a16:creationId xmlns:a16="http://schemas.microsoft.com/office/drawing/2014/main" id="{9C9C0C39-5FEB-41AC-8BBA-EA53FE0E8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7240" y="7189470"/>
          <a:ext cx="523875" cy="1797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2179320</xdr:colOff>
      <xdr:row>25</xdr:row>
      <xdr:rowOff>7620</xdr:rowOff>
    </xdr:from>
    <xdr:to>
      <xdr:col>3</xdr:col>
      <xdr:colOff>2389505</xdr:colOff>
      <xdr:row>25</xdr:row>
      <xdr:rowOff>169546</xdr:rowOff>
    </xdr:to>
    <xdr:pic>
      <xdr:nvPicPr>
        <xdr:cNvPr id="19" name="Immagine 36" descr="Ritaglio schermata">
          <a:extLst>
            <a:ext uri="{FF2B5EF4-FFF2-40B4-BE49-F238E27FC236}">
              <a16:creationId xmlns:a16="http://schemas.microsoft.com/office/drawing/2014/main" id="{FE20EB90-D062-402C-BFE1-3A6E20390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025" y="4733925"/>
          <a:ext cx="196850" cy="171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2164080</xdr:colOff>
      <xdr:row>26</xdr:row>
      <xdr:rowOff>22860</xdr:rowOff>
    </xdr:from>
    <xdr:to>
      <xdr:col>3</xdr:col>
      <xdr:colOff>2377440</xdr:colOff>
      <xdr:row>26</xdr:row>
      <xdr:rowOff>174784</xdr:rowOff>
    </xdr:to>
    <xdr:pic>
      <xdr:nvPicPr>
        <xdr:cNvPr id="20" name="Immagine 37" descr="Ritaglio schermata">
          <a:extLst>
            <a:ext uri="{FF2B5EF4-FFF2-40B4-BE49-F238E27FC236}">
              <a16:creationId xmlns:a16="http://schemas.microsoft.com/office/drawing/2014/main" id="{4A095F40-322E-4C94-9BAB-7146EBFBC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0975" y="4924425"/>
          <a:ext cx="215265" cy="1557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2179320</xdr:colOff>
      <xdr:row>29</xdr:row>
      <xdr:rowOff>7620</xdr:rowOff>
    </xdr:from>
    <xdr:to>
      <xdr:col>3</xdr:col>
      <xdr:colOff>2466975</xdr:colOff>
      <xdr:row>29</xdr:row>
      <xdr:rowOff>170022</xdr:rowOff>
    </xdr:to>
    <xdr:pic>
      <xdr:nvPicPr>
        <xdr:cNvPr id="21" name="Immagine 38" descr="Ritaglio schermata">
          <a:extLst>
            <a:ext uri="{FF2B5EF4-FFF2-40B4-BE49-F238E27FC236}">
              <a16:creationId xmlns:a16="http://schemas.microsoft.com/office/drawing/2014/main" id="{ED4C2452-D39A-401F-9A15-5FA97E008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025" y="5457825"/>
          <a:ext cx="295275" cy="171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2484120</xdr:colOff>
      <xdr:row>30</xdr:row>
      <xdr:rowOff>22860</xdr:rowOff>
    </xdr:from>
    <xdr:to>
      <xdr:col>3</xdr:col>
      <xdr:colOff>2808605</xdr:colOff>
      <xdr:row>30</xdr:row>
      <xdr:rowOff>152400</xdr:rowOff>
    </xdr:to>
    <xdr:pic>
      <xdr:nvPicPr>
        <xdr:cNvPr id="22" name="Immagine 39" descr="Ritaglio schermata">
          <a:extLst>
            <a:ext uri="{FF2B5EF4-FFF2-40B4-BE49-F238E27FC236}">
              <a16:creationId xmlns:a16="http://schemas.microsoft.com/office/drawing/2014/main" id="{24B45CC1-DE2B-424B-8B6A-627E46E8A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4825" y="5648325"/>
          <a:ext cx="31115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2179320</xdr:colOff>
      <xdr:row>27</xdr:row>
      <xdr:rowOff>22860</xdr:rowOff>
    </xdr:from>
    <xdr:to>
      <xdr:col>3</xdr:col>
      <xdr:colOff>2388870</xdr:colOff>
      <xdr:row>27</xdr:row>
      <xdr:rowOff>169545</xdr:rowOff>
    </xdr:to>
    <xdr:pic>
      <xdr:nvPicPr>
        <xdr:cNvPr id="23" name="Immagine 40" descr="Ritaglio schermata">
          <a:extLst>
            <a:ext uri="{FF2B5EF4-FFF2-40B4-BE49-F238E27FC236}">
              <a16:creationId xmlns:a16="http://schemas.microsoft.com/office/drawing/2014/main" id="{C706530A-7F2B-4EF4-9980-72B38901F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025" y="5105400"/>
          <a:ext cx="196215" cy="1504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2179320</xdr:colOff>
      <xdr:row>28</xdr:row>
      <xdr:rowOff>7620</xdr:rowOff>
    </xdr:from>
    <xdr:to>
      <xdr:col>3</xdr:col>
      <xdr:colOff>2389505</xdr:colOff>
      <xdr:row>28</xdr:row>
      <xdr:rowOff>174148</xdr:rowOff>
    </xdr:to>
    <xdr:pic>
      <xdr:nvPicPr>
        <xdr:cNvPr id="24" name="Immagine 41" descr="Ritaglio schermata">
          <a:extLst>
            <a:ext uri="{FF2B5EF4-FFF2-40B4-BE49-F238E27FC236}">
              <a16:creationId xmlns:a16="http://schemas.microsoft.com/office/drawing/2014/main" id="{1F50E817-70FE-4AE9-A524-B452A2D5B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025" y="5276850"/>
          <a:ext cx="196850" cy="1646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AA54"/>
  <sheetViews>
    <sheetView zoomScale="90" zoomScaleNormal="90" workbookViewId="0">
      <selection activeCell="G31" sqref="G31"/>
    </sheetView>
  </sheetViews>
  <sheetFormatPr defaultColWidth="9.109375" defaultRowHeight="14.4" x14ac:dyDescent="0.3"/>
  <cols>
    <col min="1" max="1" width="5.44140625" customWidth="1"/>
    <col min="2" max="16" width="11.5546875" customWidth="1"/>
  </cols>
  <sheetData>
    <row r="1" spans="1:27" ht="25.35" customHeight="1" x14ac:dyDescent="0.3">
      <c r="A1" s="774"/>
      <c r="B1" s="774"/>
      <c r="C1" s="774"/>
      <c r="D1" s="774"/>
      <c r="E1" s="776" t="s">
        <v>139</v>
      </c>
      <c r="F1" s="776"/>
      <c r="G1" s="776"/>
      <c r="H1" s="776"/>
      <c r="I1" s="776"/>
      <c r="J1" s="776"/>
      <c r="K1" s="776"/>
      <c r="L1" s="776"/>
      <c r="M1" s="778" t="s">
        <v>138</v>
      </c>
      <c r="N1" s="779"/>
      <c r="O1" s="779"/>
      <c r="P1" s="780"/>
    </row>
    <row r="2" spans="1:27" x14ac:dyDescent="0.3">
      <c r="A2" s="774"/>
      <c r="B2" s="774"/>
      <c r="C2" s="774"/>
      <c r="D2" s="774"/>
      <c r="E2" s="776"/>
      <c r="F2" s="776"/>
      <c r="G2" s="776"/>
      <c r="H2" s="776"/>
      <c r="I2" s="776"/>
      <c r="J2" s="776"/>
      <c r="K2" s="776"/>
      <c r="L2" s="776"/>
      <c r="M2" s="781"/>
      <c r="N2" s="782"/>
      <c r="O2" s="782"/>
      <c r="P2" s="783"/>
    </row>
    <row r="3" spans="1:27" s="2" customFormat="1" ht="13.2" x14ac:dyDescent="0.25">
      <c r="A3" s="774"/>
      <c r="B3" s="774"/>
      <c r="C3" s="774"/>
      <c r="D3" s="774"/>
      <c r="E3" s="776"/>
      <c r="F3" s="776"/>
      <c r="G3" s="776"/>
      <c r="H3" s="776"/>
      <c r="I3" s="776"/>
      <c r="J3" s="776"/>
      <c r="K3" s="776"/>
      <c r="L3" s="776"/>
      <c r="M3" s="781"/>
      <c r="N3" s="782"/>
      <c r="O3" s="782"/>
      <c r="P3" s="783"/>
      <c r="AA3" s="3"/>
    </row>
    <row r="4" spans="1:27" s="2" customFormat="1" ht="13.8" thickBot="1" x14ac:dyDescent="0.3">
      <c r="A4" s="775"/>
      <c r="B4" s="775"/>
      <c r="C4" s="775"/>
      <c r="D4" s="775"/>
      <c r="E4" s="777"/>
      <c r="F4" s="777"/>
      <c r="G4" s="777"/>
      <c r="H4" s="777"/>
      <c r="I4" s="777"/>
      <c r="J4" s="777"/>
      <c r="K4" s="777"/>
      <c r="L4" s="777"/>
      <c r="M4" s="784"/>
      <c r="N4" s="785"/>
      <c r="O4" s="785"/>
      <c r="P4" s="786"/>
      <c r="AA4" s="3"/>
    </row>
    <row r="5" spans="1:27" s="2" customFormat="1" x14ac:dyDescent="0.3">
      <c r="A5"/>
      <c r="B5"/>
      <c r="C5"/>
      <c r="D5"/>
      <c r="E5"/>
      <c r="F5"/>
      <c r="G5"/>
      <c r="H5"/>
      <c r="I5"/>
      <c r="J5"/>
      <c r="K5"/>
      <c r="L5"/>
      <c r="AA5" s="3"/>
    </row>
    <row r="6" spans="1:27" s="2" customFormat="1" ht="17.399999999999999" x14ac:dyDescent="0.3">
      <c r="B6" s="17"/>
      <c r="AA6" s="3"/>
    </row>
    <row r="7" spans="1:27" s="2" customFormat="1" ht="13.8" x14ac:dyDescent="0.25">
      <c r="B7" s="740" t="s">
        <v>15</v>
      </c>
      <c r="C7" s="740"/>
      <c r="D7" s="740"/>
      <c r="F7" s="740" t="s">
        <v>16</v>
      </c>
      <c r="G7" s="740"/>
      <c r="H7" s="740"/>
      <c r="I7" s="740"/>
      <c r="J7" s="740"/>
      <c r="K7" s="740"/>
    </row>
    <row r="8" spans="1:27" s="2" customFormat="1" ht="18" thickBot="1" x14ac:dyDescent="0.35">
      <c r="A8" s="17"/>
      <c r="J8" s="89" t="s">
        <v>161</v>
      </c>
      <c r="K8" s="89" t="s">
        <v>160</v>
      </c>
      <c r="X8" s="3"/>
    </row>
    <row r="9" spans="1:27" s="2" customFormat="1" ht="18" thickBot="1" x14ac:dyDescent="0.35">
      <c r="A9" s="17"/>
      <c r="B9" s="18" t="s">
        <v>17</v>
      </c>
      <c r="C9" s="746" t="str">
        <f>'Table tests'!E5</f>
        <v>CB &amp; HMD</v>
      </c>
      <c r="D9" s="745"/>
      <c r="F9" s="741" t="s">
        <v>157</v>
      </c>
      <c r="G9" s="742"/>
      <c r="H9" s="742"/>
      <c r="I9" s="743"/>
      <c r="J9" s="51" t="str">
        <f>'Table tests'!M7</f>
        <v>110</v>
      </c>
      <c r="K9" s="53" t="str">
        <f>'Table tests'!L7</f>
        <v>204</v>
      </c>
      <c r="X9" s="3"/>
    </row>
    <row r="10" spans="1:27" s="2" customFormat="1" ht="18" thickBot="1" x14ac:dyDescent="0.35">
      <c r="A10" s="17"/>
      <c r="B10" s="18" t="s">
        <v>18</v>
      </c>
      <c r="C10" s="746" t="str">
        <f>'Table tests'!E7</f>
        <v>Haier</v>
      </c>
      <c r="D10" s="745"/>
      <c r="F10" s="741" t="s">
        <v>19</v>
      </c>
      <c r="G10" s="742"/>
      <c r="H10" s="742"/>
      <c r="I10" s="743"/>
      <c r="J10" s="90" t="str">
        <f>'Table tests'!M5</f>
        <v>C</v>
      </c>
      <c r="K10" s="53" t="str">
        <f>'Table tests'!L5</f>
        <v>A+++</v>
      </c>
      <c r="N10" s="5"/>
      <c r="O10" s="5"/>
      <c r="P10" s="5"/>
      <c r="Q10" s="5"/>
      <c r="R10" s="5"/>
      <c r="S10" s="5"/>
      <c r="T10" s="5"/>
      <c r="U10" s="5"/>
      <c r="V10" s="4"/>
      <c r="W10" s="5"/>
      <c r="X10" s="3"/>
    </row>
    <row r="11" spans="1:27" s="2" customFormat="1" ht="18" thickBot="1" x14ac:dyDescent="0.35">
      <c r="A11" s="17"/>
      <c r="B11" s="18" t="s">
        <v>20</v>
      </c>
      <c r="C11" s="746">
        <f>'Table tests'!AN4</f>
        <v>0</v>
      </c>
      <c r="D11" s="745"/>
      <c r="F11" s="741" t="s">
        <v>21</v>
      </c>
      <c r="G11" s="742"/>
      <c r="H11" s="742"/>
      <c r="I11" s="743"/>
      <c r="J11" s="397" t="str">
        <f>'Table tests'!S5</f>
        <v>88</v>
      </c>
      <c r="K11" s="398" t="str">
        <f>'Table tests'!S5</f>
        <v>88</v>
      </c>
      <c r="X11" s="3"/>
    </row>
    <row r="12" spans="1:27" s="2" customFormat="1" ht="18" thickBot="1" x14ac:dyDescent="0.35">
      <c r="A12" s="17"/>
      <c r="B12" s="19" t="s">
        <v>22</v>
      </c>
      <c r="C12" s="744">
        <f>'Table tests'!O11</f>
        <v>0</v>
      </c>
      <c r="D12" s="745"/>
      <c r="F12" s="741" t="s">
        <v>23</v>
      </c>
      <c r="G12" s="742"/>
      <c r="H12" s="742"/>
      <c r="I12" s="743"/>
      <c r="J12" s="51" t="str">
        <f>'Table tests'!S7</f>
        <v>B</v>
      </c>
      <c r="K12" s="53">
        <f>'Table tests'!R7</f>
        <v>0</v>
      </c>
      <c r="M12" s="4"/>
      <c r="O12" s="3"/>
      <c r="R12" s="4"/>
      <c r="S12" s="4"/>
      <c r="T12" s="4"/>
      <c r="U12" s="4"/>
      <c r="V12" s="4"/>
      <c r="W12" s="5"/>
      <c r="X12" s="3"/>
    </row>
    <row r="13" spans="1:27" s="2" customFormat="1" ht="18" thickBot="1" x14ac:dyDescent="0.35">
      <c r="A13" s="17"/>
      <c r="B13" s="19" t="s">
        <v>24</v>
      </c>
      <c r="C13" s="744" t="str">
        <f>'Table tests'!H7</f>
        <v>HP</v>
      </c>
      <c r="D13" s="745" t="s">
        <v>25</v>
      </c>
      <c r="F13" s="741" t="s">
        <v>26</v>
      </c>
      <c r="G13" s="742"/>
      <c r="H13" s="742"/>
      <c r="I13" s="743"/>
      <c r="J13" s="51" t="str">
        <f>'Table tests'!L9</f>
        <v>205</v>
      </c>
      <c r="K13" s="53" t="str">
        <f>'Table tests'!L9</f>
        <v>205</v>
      </c>
      <c r="M13" s="4"/>
      <c r="R13" s="4"/>
      <c r="S13" s="4"/>
      <c r="T13" s="4"/>
      <c r="U13" s="4"/>
      <c r="V13" s="4"/>
      <c r="W13" s="21"/>
      <c r="X13" s="3"/>
    </row>
    <row r="14" spans="1:27" s="2" customFormat="1" ht="18" thickBot="1" x14ac:dyDescent="0.35">
      <c r="A14" s="17"/>
      <c r="B14" s="19" t="s">
        <v>27</v>
      </c>
      <c r="C14" s="744">
        <f>'Table tests'!H5</f>
        <v>9</v>
      </c>
      <c r="D14" s="796">
        <v>10</v>
      </c>
      <c r="E14" s="4"/>
      <c r="F14" s="798" t="s">
        <v>67</v>
      </c>
      <c r="G14" s="799"/>
      <c r="H14" s="799"/>
      <c r="I14" s="800"/>
      <c r="J14" s="801">
        <f>MAX('Table tests'!D21:D32,'Table tests'!D108:D111)</f>
        <v>46120</v>
      </c>
      <c r="K14" s="802"/>
      <c r="L14" s="4"/>
      <c r="M14" s="4"/>
      <c r="R14" s="4"/>
      <c r="S14" s="4"/>
      <c r="T14" s="4"/>
      <c r="U14" s="4"/>
      <c r="V14" s="4"/>
      <c r="W14" s="5"/>
      <c r="X14" s="3"/>
    </row>
    <row r="15" spans="1:27" s="2" customFormat="1" ht="17.399999999999999" x14ac:dyDescent="0.3">
      <c r="A15" s="17"/>
      <c r="E15" s="4"/>
      <c r="F15" s="4"/>
      <c r="G15" s="5"/>
      <c r="H15" s="20"/>
      <c r="I15" s="797"/>
      <c r="J15" s="797"/>
      <c r="K15" s="4"/>
      <c r="L15" s="4"/>
      <c r="M15" s="4"/>
      <c r="R15" s="4"/>
      <c r="S15" s="4"/>
      <c r="T15" s="4"/>
      <c r="U15" s="4"/>
      <c r="V15" s="4"/>
      <c r="W15" s="5"/>
      <c r="X15" s="3"/>
    </row>
    <row r="16" spans="1:27" s="2" customFormat="1" ht="17.399999999999999" x14ac:dyDescent="0.3">
      <c r="A16" s="17"/>
      <c r="B16" s="740" t="s">
        <v>28</v>
      </c>
      <c r="C16" s="740"/>
      <c r="D16" s="740"/>
      <c r="E16" s="740"/>
      <c r="F16" s="740"/>
      <c r="G16" s="740"/>
      <c r="H16" s="740"/>
      <c r="I16" s="740"/>
      <c r="J16" s="740"/>
      <c r="K16" s="740"/>
      <c r="L16" s="4"/>
      <c r="M16" s="52"/>
      <c r="R16" s="4"/>
      <c r="S16" s="4"/>
      <c r="T16" s="4"/>
      <c r="U16" s="4"/>
      <c r="V16" s="4"/>
      <c r="W16" s="5"/>
      <c r="X16" s="3"/>
    </row>
    <row r="17" spans="1:22" s="2" customFormat="1" ht="17.399999999999999" x14ac:dyDescent="0.3">
      <c r="A17" s="17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4"/>
      <c r="U17" s="3"/>
    </row>
    <row r="18" spans="1:22" s="2" customFormat="1" ht="17.399999999999999" x14ac:dyDescent="0.3">
      <c r="A18" s="17"/>
      <c r="B18" s="787"/>
      <c r="C18" s="788"/>
      <c r="D18" s="788"/>
      <c r="E18" s="788"/>
      <c r="F18" s="788"/>
      <c r="G18" s="788"/>
      <c r="H18" s="788"/>
      <c r="I18" s="788"/>
      <c r="J18" s="788"/>
      <c r="K18" s="789"/>
      <c r="L18" s="4"/>
    </row>
    <row r="19" spans="1:22" s="2" customFormat="1" ht="17.399999999999999" x14ac:dyDescent="0.3">
      <c r="A19" s="17"/>
      <c r="B19" s="790"/>
      <c r="C19" s="791"/>
      <c r="D19" s="791"/>
      <c r="E19" s="791"/>
      <c r="F19" s="791"/>
      <c r="G19" s="791"/>
      <c r="H19" s="791"/>
      <c r="I19" s="791"/>
      <c r="J19" s="791"/>
      <c r="K19" s="792"/>
    </row>
    <row r="20" spans="1:22" ht="17.399999999999999" x14ac:dyDescent="0.3">
      <c r="A20" s="17"/>
      <c r="B20" s="793"/>
      <c r="C20" s="794"/>
      <c r="D20" s="794"/>
      <c r="E20" s="794"/>
      <c r="F20" s="794"/>
      <c r="G20" s="794"/>
      <c r="H20" s="794"/>
      <c r="I20" s="794"/>
      <c r="J20" s="794"/>
      <c r="K20" s="795"/>
      <c r="L20" s="2"/>
    </row>
    <row r="21" spans="1:22" ht="17.399999999999999" x14ac:dyDescent="0.3">
      <c r="A21" s="17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"/>
      <c r="R21" s="74"/>
      <c r="S21" s="74"/>
      <c r="T21" s="30"/>
      <c r="U21" s="73"/>
      <c r="V21" s="73"/>
    </row>
    <row r="22" spans="1:22" ht="15" thickBot="1" x14ac:dyDescent="0.35">
      <c r="B22" s="24" t="s">
        <v>97</v>
      </c>
      <c r="H22" s="1"/>
      <c r="I22" s="16"/>
      <c r="J22" s="16"/>
      <c r="K22" s="25"/>
      <c r="L22" s="25"/>
      <c r="R22" s="75"/>
      <c r="S22" s="75"/>
      <c r="T22" s="16"/>
      <c r="U22" s="74"/>
      <c r="V22" s="74"/>
    </row>
    <row r="23" spans="1:22" ht="16.2" thickBot="1" x14ac:dyDescent="0.35">
      <c r="B23" s="26" t="s">
        <v>11</v>
      </c>
      <c r="C23" s="27" t="s">
        <v>10</v>
      </c>
      <c r="E23" s="763" t="s">
        <v>29</v>
      </c>
      <c r="F23" s="764"/>
      <c r="G23" s="28" t="s">
        <v>8</v>
      </c>
      <c r="H23" s="29" t="s">
        <v>9</v>
      </c>
      <c r="I23" s="30"/>
      <c r="J23" s="752" t="s">
        <v>98</v>
      </c>
      <c r="K23" s="753"/>
      <c r="L23" s="25"/>
      <c r="M23" s="772" t="s">
        <v>0</v>
      </c>
      <c r="N23" s="773"/>
      <c r="R23" s="72"/>
    </row>
    <row r="24" spans="1:22" ht="16.2" thickBot="1" x14ac:dyDescent="0.35">
      <c r="B24" s="9">
        <f>C14</f>
        <v>9</v>
      </c>
      <c r="C24" s="473">
        <f>IF(C13="Vented",0.46*POWER(B24,0.63)*(1-(0.24*G25+0.76*H25)/60-0.0083),0.46*POWER(B24,0.63))</f>
        <v>1.836244942454571</v>
      </c>
      <c r="E24" s="765" t="s">
        <v>30</v>
      </c>
      <c r="F24" s="766"/>
      <c r="G24" s="11">
        <f>'Table tests'!N98</f>
        <v>2.1801718470805027</v>
      </c>
      <c r="H24" s="12" t="e">
        <f>'Table tests'!N113</f>
        <v>#DIV/0!</v>
      </c>
      <c r="I24" s="16"/>
      <c r="J24" s="754"/>
      <c r="K24" s="755"/>
      <c r="L24" s="10"/>
      <c r="M24" s="29" t="s">
        <v>95</v>
      </c>
      <c r="N24" s="29" t="s">
        <v>96</v>
      </c>
      <c r="Q24" s="8"/>
    </row>
    <row r="25" spans="1:22" ht="16.2" thickBot="1" x14ac:dyDescent="0.35">
      <c r="B25" s="24" t="s">
        <v>164</v>
      </c>
      <c r="E25" s="761" t="s">
        <v>31</v>
      </c>
      <c r="F25" s="762"/>
      <c r="G25" s="13">
        <f>+'Table tests'!O98</f>
        <v>307.30847966794613</v>
      </c>
      <c r="H25" s="14" t="e">
        <f>+'Table tests'!O113</f>
        <v>#DIV/0!</v>
      </c>
      <c r="I25" s="1"/>
      <c r="J25" s="767" t="e">
        <f>(+G26*0.24+H26*0.76)</f>
        <v>#DIV/0!</v>
      </c>
      <c r="K25" s="769" t="e">
        <f>(+G26*3+H26*4)/7</f>
        <v>#DIV/0!</v>
      </c>
      <c r="L25" s="10"/>
      <c r="M25" s="85">
        <v>0.5</v>
      </c>
      <c r="N25" s="85">
        <v>0.5</v>
      </c>
      <c r="Q25" s="8"/>
    </row>
    <row r="26" spans="1:22" ht="16.2" thickBot="1" x14ac:dyDescent="0.35">
      <c r="B26" s="26" t="s">
        <v>11</v>
      </c>
      <c r="C26" s="27" t="s">
        <v>10</v>
      </c>
      <c r="E26" s="761" t="s">
        <v>32</v>
      </c>
      <c r="F26" s="762"/>
      <c r="G26" s="13">
        <f>+'Table tests'!P98</f>
        <v>86.91822152615849</v>
      </c>
      <c r="H26" s="14" t="e">
        <f>+'Table tests'!P113</f>
        <v>#DIV/0!</v>
      </c>
      <c r="J26" s="768"/>
      <c r="K26" s="770"/>
      <c r="Q26" s="8"/>
    </row>
    <row r="27" spans="1:22" ht="16.2" thickBot="1" x14ac:dyDescent="0.35">
      <c r="B27" s="9">
        <f>C14</f>
        <v>9</v>
      </c>
      <c r="C27" s="31">
        <f>IF(C13="Vented",140*POWER(B27,0.8)-(30*(3*G25+4*H25)/420),140*POWER(B27,0.8))</f>
        <v>811.93645887134062</v>
      </c>
      <c r="E27" s="15"/>
      <c r="F27" s="15"/>
      <c r="G27" s="72"/>
      <c r="H27" s="72"/>
      <c r="J27" s="71"/>
      <c r="K27" s="71"/>
      <c r="Q27" s="8"/>
    </row>
    <row r="28" spans="1:22" ht="15.6" x14ac:dyDescent="0.3">
      <c r="E28" s="15"/>
      <c r="F28" s="15"/>
      <c r="G28" s="72"/>
      <c r="H28" s="72"/>
      <c r="J28" s="71"/>
      <c r="K28" s="71"/>
      <c r="Q28" s="8"/>
    </row>
    <row r="29" spans="1:22" ht="15.6" x14ac:dyDescent="0.3">
      <c r="E29" s="15"/>
      <c r="F29" s="15"/>
      <c r="G29" s="72"/>
      <c r="H29" s="72"/>
      <c r="J29" s="71"/>
      <c r="K29" s="71"/>
      <c r="Q29" s="8"/>
    </row>
    <row r="30" spans="1:22" x14ac:dyDescent="0.3">
      <c r="E30" s="15"/>
      <c r="F30" s="15"/>
      <c r="G30" s="72"/>
      <c r="H30" s="72"/>
      <c r="J30" s="71"/>
      <c r="K30" s="71"/>
    </row>
    <row r="31" spans="1:22" x14ac:dyDescent="0.3">
      <c r="E31" s="15"/>
      <c r="F31" s="15"/>
      <c r="G31" s="72"/>
      <c r="H31" s="72"/>
      <c r="J31" s="71"/>
      <c r="K31" s="71"/>
    </row>
    <row r="32" spans="1:22" x14ac:dyDescent="0.3">
      <c r="I32" s="1"/>
      <c r="J32" s="1"/>
      <c r="L32" s="1"/>
    </row>
    <row r="33" spans="2:18" ht="15" thickBot="1" x14ac:dyDescent="0.35">
      <c r="B33" s="24" t="s">
        <v>99</v>
      </c>
      <c r="D33" s="15"/>
      <c r="E33" s="24" t="s">
        <v>33</v>
      </c>
    </row>
    <row r="34" spans="2:18" ht="18" thickBot="1" x14ac:dyDescent="0.35">
      <c r="B34" s="32" t="s">
        <v>72</v>
      </c>
      <c r="C34" s="251" t="e">
        <f>0.24*G24+0.76*H24</f>
        <v>#DIV/0!</v>
      </c>
      <c r="E34" s="32" t="s">
        <v>12</v>
      </c>
      <c r="F34" s="33" t="e">
        <f>100*C34/C24</f>
        <v>#DIV/0!</v>
      </c>
      <c r="J34" s="32" t="s">
        <v>88</v>
      </c>
      <c r="K34" s="33" t="e">
        <f>160*(3*G24+4*H24)/7+(M25+N25)*(525600-(+G25*3+H25*4)/7*160)/120000</f>
        <v>#DIV/0!</v>
      </c>
      <c r="M34" s="32" t="s">
        <v>12</v>
      </c>
      <c r="N34" s="33" t="e">
        <f>100*K34/C27</f>
        <v>#DIV/0!</v>
      </c>
      <c r="Q34" s="1"/>
      <c r="R34" s="1"/>
    </row>
    <row r="35" spans="2:18" ht="14.4" customHeight="1" thickBot="1" x14ac:dyDescent="0.35"/>
    <row r="36" spans="2:18" ht="14.4" customHeight="1" thickBot="1" x14ac:dyDescent="0.35">
      <c r="B36" s="34" t="s">
        <v>87</v>
      </c>
      <c r="C36" s="35" t="s">
        <v>13</v>
      </c>
      <c r="D36" s="54" t="s">
        <v>34</v>
      </c>
      <c r="E36" s="750" t="s">
        <v>35</v>
      </c>
      <c r="F36" s="751"/>
      <c r="J36" s="34" t="s">
        <v>89</v>
      </c>
      <c r="K36" s="35" t="s">
        <v>13</v>
      </c>
      <c r="L36" s="34" t="s">
        <v>34</v>
      </c>
      <c r="M36" s="750" t="s">
        <v>35</v>
      </c>
      <c r="N36" s="751"/>
      <c r="P36" s="1"/>
      <c r="Q36" s="1"/>
      <c r="R36" s="1"/>
    </row>
    <row r="37" spans="2:18" x14ac:dyDescent="0.3">
      <c r="B37" s="213">
        <f>+C$24*43/100</f>
        <v>0.78958532525546554</v>
      </c>
      <c r="C37" s="58" t="s">
        <v>78</v>
      </c>
      <c r="D37" s="55" t="s">
        <v>62</v>
      </c>
      <c r="E37" s="69" t="e">
        <f t="shared" ref="E37:E43" si="0">+(C$34-B37)/B37</f>
        <v>#DIV/0!</v>
      </c>
      <c r="F37" s="59">
        <f t="shared" ref="F37:F43" si="1">+B37/C$24</f>
        <v>0.43</v>
      </c>
      <c r="J37" s="81">
        <f>+C$27*24/100</f>
        <v>194.86475012912175</v>
      </c>
      <c r="K37" s="34" t="s">
        <v>90</v>
      </c>
      <c r="L37" s="199" t="s">
        <v>104</v>
      </c>
      <c r="M37" s="196" t="e">
        <f t="shared" ref="M37:M42" si="2">+(K$34-J37)/J37</f>
        <v>#DIV/0!</v>
      </c>
      <c r="N37" s="192">
        <v>0.24</v>
      </c>
      <c r="O37" s="1"/>
      <c r="P37" s="1"/>
      <c r="Q37" s="1"/>
      <c r="R37" s="1"/>
    </row>
    <row r="38" spans="2:18" x14ac:dyDescent="0.3">
      <c r="B38" s="214">
        <f>+C$24*50/100</f>
        <v>0.91812247122728552</v>
      </c>
      <c r="C38" s="60" t="s">
        <v>79</v>
      </c>
      <c r="D38" s="56" t="s">
        <v>77</v>
      </c>
      <c r="E38" s="68" t="e">
        <f t="shared" si="0"/>
        <v>#DIV/0!</v>
      </c>
      <c r="F38" s="61">
        <f t="shared" si="1"/>
        <v>0.5</v>
      </c>
      <c r="J38" s="83">
        <f>+C$27*32/100</f>
        <v>259.81966683882899</v>
      </c>
      <c r="K38" s="84" t="s">
        <v>91</v>
      </c>
      <c r="L38" s="199" t="s">
        <v>103</v>
      </c>
      <c r="M38" s="197" t="e">
        <f t="shared" si="2"/>
        <v>#DIV/0!</v>
      </c>
      <c r="N38" s="193">
        <v>0.32</v>
      </c>
      <c r="O38" s="1"/>
      <c r="P38" s="1"/>
      <c r="Q38" s="1"/>
      <c r="R38" s="1"/>
    </row>
    <row r="39" spans="2:18" x14ac:dyDescent="0.3">
      <c r="B39" s="215">
        <f>+C$24*60/100</f>
        <v>1.1017469654727428</v>
      </c>
      <c r="C39" s="62" t="s">
        <v>80</v>
      </c>
      <c r="D39" s="56" t="s">
        <v>70</v>
      </c>
      <c r="E39" s="68" t="e">
        <f t="shared" si="0"/>
        <v>#DIV/0!</v>
      </c>
      <c r="F39" s="63">
        <f t="shared" si="1"/>
        <v>0.60000000000000009</v>
      </c>
      <c r="J39" s="76">
        <f>+C$27*42/100</f>
        <v>341.01331272596303</v>
      </c>
      <c r="K39" s="77" t="s">
        <v>92</v>
      </c>
      <c r="L39" s="199" t="s">
        <v>102</v>
      </c>
      <c r="M39" s="197" t="e">
        <f t="shared" si="2"/>
        <v>#DIV/0!</v>
      </c>
      <c r="N39" s="194">
        <v>0.42</v>
      </c>
      <c r="O39" s="1"/>
      <c r="P39" s="1"/>
      <c r="Q39" s="1"/>
      <c r="R39" s="1"/>
    </row>
    <row r="40" spans="2:18" x14ac:dyDescent="0.3">
      <c r="B40" s="215">
        <f>+C$24*70/100</f>
        <v>1.2853714597181998</v>
      </c>
      <c r="C40" s="64" t="s">
        <v>81</v>
      </c>
      <c r="D40" s="56" t="s">
        <v>74</v>
      </c>
      <c r="E40" s="68" t="e">
        <f t="shared" si="0"/>
        <v>#DIV/0!</v>
      </c>
      <c r="F40" s="63">
        <f t="shared" si="1"/>
        <v>0.70000000000000007</v>
      </c>
      <c r="J40" s="76">
        <f>+C$27*65/100</f>
        <v>527.75869826637143</v>
      </c>
      <c r="K40" s="78" t="s">
        <v>93</v>
      </c>
      <c r="L40" s="199" t="s">
        <v>62</v>
      </c>
      <c r="M40" s="197" t="e">
        <f t="shared" si="2"/>
        <v>#DIV/0!</v>
      </c>
      <c r="N40" s="194">
        <v>0.65</v>
      </c>
      <c r="P40" s="6"/>
      <c r="Q40" s="1"/>
      <c r="R40" s="1"/>
    </row>
    <row r="41" spans="2:18" x14ac:dyDescent="0.3">
      <c r="B41" s="214">
        <f>+C$24*85/100</f>
        <v>1.5608082010863853</v>
      </c>
      <c r="C41" s="56" t="s">
        <v>14</v>
      </c>
      <c r="D41" s="56" t="s">
        <v>75</v>
      </c>
      <c r="E41" s="68" t="e">
        <f t="shared" si="0"/>
        <v>#DIV/0!</v>
      </c>
      <c r="F41" s="61">
        <f t="shared" si="1"/>
        <v>0.85</v>
      </c>
      <c r="J41" s="83">
        <f>+C$27*76/100</f>
        <v>617.0717087422189</v>
      </c>
      <c r="K41" s="82" t="s">
        <v>94</v>
      </c>
      <c r="L41" s="199" t="s">
        <v>77</v>
      </c>
      <c r="M41" s="197" t="e">
        <f t="shared" si="2"/>
        <v>#DIV/0!</v>
      </c>
      <c r="N41" s="193">
        <v>0.76</v>
      </c>
      <c r="O41" s="10"/>
      <c r="Q41" s="1"/>
      <c r="R41" s="1"/>
    </row>
    <row r="42" spans="2:18" ht="15" thickBot="1" x14ac:dyDescent="0.35">
      <c r="B42" s="215">
        <f>+C$24*100/100</f>
        <v>1.836244942454571</v>
      </c>
      <c r="C42" s="65" t="s">
        <v>82</v>
      </c>
      <c r="D42" s="56" t="s">
        <v>76</v>
      </c>
      <c r="E42" s="68" t="e">
        <f t="shared" si="0"/>
        <v>#DIV/0!</v>
      </c>
      <c r="F42" s="63">
        <f t="shared" si="1"/>
        <v>1</v>
      </c>
      <c r="I42" s="6"/>
      <c r="J42" s="79">
        <f>+C$27*85/100</f>
        <v>690.14599004063962</v>
      </c>
      <c r="K42" s="80" t="s">
        <v>14</v>
      </c>
      <c r="L42" s="200" t="s">
        <v>70</v>
      </c>
      <c r="M42" s="198" t="e">
        <f t="shared" si="2"/>
        <v>#DIV/0!</v>
      </c>
      <c r="N42" s="195">
        <v>0.85</v>
      </c>
    </row>
    <row r="43" spans="2:18" ht="15" thickBot="1" x14ac:dyDescent="0.35">
      <c r="B43" s="215">
        <f>+C$24*100/100</f>
        <v>1.836244942454571</v>
      </c>
      <c r="C43" s="66" t="s">
        <v>83</v>
      </c>
      <c r="D43" s="57" t="s">
        <v>84</v>
      </c>
      <c r="E43" s="70" t="e">
        <f t="shared" si="0"/>
        <v>#DIV/0!</v>
      </c>
      <c r="F43" s="67">
        <f t="shared" si="1"/>
        <v>1</v>
      </c>
      <c r="I43" s="6"/>
      <c r="J43" s="6"/>
      <c r="K43" s="6"/>
      <c r="L43" s="6"/>
    </row>
    <row r="45" spans="2:18" x14ac:dyDescent="0.3">
      <c r="B45" s="740" t="s">
        <v>36</v>
      </c>
      <c r="C45" s="740"/>
      <c r="D45" s="740"/>
      <c r="E45" s="740"/>
      <c r="F45" s="740"/>
      <c r="G45" s="740"/>
      <c r="H45" s="740"/>
      <c r="J45" s="740" t="s">
        <v>163</v>
      </c>
      <c r="K45" s="740"/>
      <c r="L45" s="740"/>
      <c r="M45" s="740"/>
      <c r="N45" s="740"/>
      <c r="O45" s="740"/>
      <c r="P45" s="740"/>
    </row>
    <row r="46" spans="2:18" ht="15" thickBot="1" x14ac:dyDescent="0.35">
      <c r="B46" s="36"/>
      <c r="C46" s="36"/>
      <c r="D46" s="36"/>
      <c r="J46" s="36"/>
      <c r="K46" s="36"/>
      <c r="L46" s="36"/>
    </row>
    <row r="47" spans="2:18" ht="15" thickBot="1" x14ac:dyDescent="0.35">
      <c r="B47" s="7"/>
      <c r="C47" s="7"/>
      <c r="D47" s="7"/>
      <c r="E47" s="37" t="s">
        <v>37</v>
      </c>
      <c r="F47" s="38" t="s">
        <v>38</v>
      </c>
      <c r="G47" s="38" t="s">
        <v>39</v>
      </c>
      <c r="H47" s="39" t="s">
        <v>66</v>
      </c>
      <c r="I47" s="1"/>
      <c r="J47" s="7"/>
      <c r="K47" s="7"/>
      <c r="L47" s="7"/>
      <c r="M47" s="37" t="s">
        <v>37</v>
      </c>
      <c r="N47" s="38" t="s">
        <v>38</v>
      </c>
      <c r="O47" s="38" t="s">
        <v>39</v>
      </c>
      <c r="P47" s="39" t="s">
        <v>66</v>
      </c>
    </row>
    <row r="48" spans="2:18" x14ac:dyDescent="0.3">
      <c r="B48" s="756" t="s">
        <v>73</v>
      </c>
      <c r="C48" s="757"/>
      <c r="D48" s="758"/>
      <c r="E48" s="40" t="str">
        <f>J9</f>
        <v>110</v>
      </c>
      <c r="F48" s="41" t="e">
        <f>C34*100</f>
        <v>#DIV/0!</v>
      </c>
      <c r="G48" s="42" t="e">
        <f>(F48-E48)/E48</f>
        <v>#DIV/0!</v>
      </c>
      <c r="H48" s="43" t="e">
        <f>IF(G48&lt;0.06,"OK","NOT OK")</f>
        <v>#DIV/0!</v>
      </c>
      <c r="I48" s="1"/>
      <c r="J48" s="756" t="s">
        <v>73</v>
      </c>
      <c r="K48" s="757"/>
      <c r="L48" s="758"/>
      <c r="M48" s="40" t="str">
        <f>'Table tests'!L7</f>
        <v>204</v>
      </c>
      <c r="N48" s="41" t="e">
        <f>K34</f>
        <v>#DIV/0!</v>
      </c>
      <c r="O48" s="42" t="e">
        <f>(N48-M48)/M48</f>
        <v>#DIV/0!</v>
      </c>
      <c r="P48" s="43" t="e">
        <f>IF(O48&lt;0.06,"OK","NOT OK")</f>
        <v>#DIV/0!</v>
      </c>
    </row>
    <row r="49" spans="2:16" x14ac:dyDescent="0.3">
      <c r="B49" s="759" t="s">
        <v>40</v>
      </c>
      <c r="C49" s="760"/>
      <c r="D49" s="760"/>
      <c r="E49" s="216" t="str">
        <f>J11</f>
        <v>88</v>
      </c>
      <c r="F49" s="212" t="e">
        <f>J25</f>
        <v>#DIV/0!</v>
      </c>
      <c r="G49" s="436" t="e">
        <f>(E49-F49)/E49</f>
        <v>#DIV/0!</v>
      </c>
      <c r="H49" s="45" t="e">
        <f t="shared" ref="H49:H50" si="3">IF(G49&lt;0.06,"OK","NOT OK")</f>
        <v>#DIV/0!</v>
      </c>
      <c r="I49" s="1"/>
      <c r="J49" s="759" t="s">
        <v>40</v>
      </c>
      <c r="K49" s="760"/>
      <c r="L49" s="760"/>
      <c r="M49" s="216" t="str">
        <f>K11</f>
        <v>88</v>
      </c>
      <c r="N49" s="212" t="e">
        <f>K25</f>
        <v>#DIV/0!</v>
      </c>
      <c r="O49" s="44" t="e">
        <f>(M49-N49)/M49</f>
        <v>#DIV/0!</v>
      </c>
      <c r="P49" s="45" t="e">
        <f>IF(O49&lt;0.06,"OK","NOT OK")</f>
        <v>#DIV/0!</v>
      </c>
    </row>
    <row r="50" spans="2:16" ht="15" thickBot="1" x14ac:dyDescent="0.35">
      <c r="B50" s="747" t="s">
        <v>41</v>
      </c>
      <c r="C50" s="748"/>
      <c r="D50" s="749"/>
      <c r="E50" s="46" t="str">
        <f>J13</f>
        <v>205</v>
      </c>
      <c r="F50" s="47">
        <f>G25</f>
        <v>307.30847966794613</v>
      </c>
      <c r="G50" s="48">
        <f>(F50-E50)/E50</f>
        <v>0.49906575447778601</v>
      </c>
      <c r="H50" s="49" t="str">
        <f t="shared" si="3"/>
        <v>NOT OK</v>
      </c>
      <c r="I50" s="1"/>
      <c r="J50" s="747" t="s">
        <v>41</v>
      </c>
      <c r="K50" s="748"/>
      <c r="L50" s="749"/>
      <c r="M50" s="46" t="str">
        <f>J13</f>
        <v>205</v>
      </c>
      <c r="N50" s="47">
        <f>G25</f>
        <v>307.30847966794613</v>
      </c>
      <c r="O50" s="48">
        <f>(N50-M50)/M50</f>
        <v>0.49906575447778601</v>
      </c>
      <c r="P50" s="49" t="str">
        <f t="shared" ref="P50" si="4">IF(O50&lt;0.06,"OK","NOT OK")</f>
        <v>NOT OK</v>
      </c>
    </row>
    <row r="51" spans="2:16" x14ac:dyDescent="0.3">
      <c r="B51" s="7"/>
      <c r="C51" s="7"/>
      <c r="D51" s="7"/>
      <c r="E51" s="7"/>
      <c r="F51" s="7"/>
      <c r="G51" s="50" t="s">
        <v>42</v>
      </c>
      <c r="H51" s="7"/>
      <c r="I51" s="1"/>
      <c r="J51" s="7"/>
      <c r="K51" s="7"/>
      <c r="L51" s="7"/>
      <c r="M51" s="7"/>
      <c r="N51" s="7"/>
      <c r="O51" s="50" t="s">
        <v>42</v>
      </c>
      <c r="P51" s="7"/>
    </row>
    <row r="52" spans="2:16" x14ac:dyDescent="0.3">
      <c r="B52" s="1"/>
      <c r="C52" s="1"/>
      <c r="D52" s="1"/>
      <c r="E52" s="1"/>
      <c r="F52" s="1"/>
      <c r="G52" s="1"/>
      <c r="H52" s="1"/>
      <c r="I52" s="1"/>
    </row>
    <row r="53" spans="2:16" x14ac:dyDescent="0.3">
      <c r="B53" s="6"/>
      <c r="C53" s="6"/>
      <c r="D53" s="1"/>
      <c r="E53" s="74"/>
      <c r="F53" s="74"/>
      <c r="G53" s="74"/>
      <c r="H53" s="1"/>
      <c r="I53" s="1"/>
    </row>
    <row r="54" spans="2:16" x14ac:dyDescent="0.3">
      <c r="B54" s="771"/>
      <c r="C54" s="771"/>
      <c r="D54" s="771"/>
      <c r="F54" s="242"/>
    </row>
  </sheetData>
  <mergeCells count="40">
    <mergeCell ref="B54:D54"/>
    <mergeCell ref="M36:N36"/>
    <mergeCell ref="M23:N23"/>
    <mergeCell ref="A1:D4"/>
    <mergeCell ref="E1:L4"/>
    <mergeCell ref="M1:P4"/>
    <mergeCell ref="B18:K20"/>
    <mergeCell ref="B16:K16"/>
    <mergeCell ref="C13:D13"/>
    <mergeCell ref="F13:I13"/>
    <mergeCell ref="C14:D14"/>
    <mergeCell ref="I15:J15"/>
    <mergeCell ref="F14:I14"/>
    <mergeCell ref="J14:K14"/>
    <mergeCell ref="C9:D9"/>
    <mergeCell ref="F9:I9"/>
    <mergeCell ref="B50:D50"/>
    <mergeCell ref="E36:F36"/>
    <mergeCell ref="J23:K24"/>
    <mergeCell ref="B45:H45"/>
    <mergeCell ref="B48:D48"/>
    <mergeCell ref="B49:D49"/>
    <mergeCell ref="E26:F26"/>
    <mergeCell ref="J48:L48"/>
    <mergeCell ref="J49:L49"/>
    <mergeCell ref="J50:L50"/>
    <mergeCell ref="J45:P45"/>
    <mergeCell ref="E23:F23"/>
    <mergeCell ref="E24:F24"/>
    <mergeCell ref="E25:F25"/>
    <mergeCell ref="J25:J26"/>
    <mergeCell ref="K25:K26"/>
    <mergeCell ref="B7:D7"/>
    <mergeCell ref="F7:K7"/>
    <mergeCell ref="F11:I11"/>
    <mergeCell ref="C12:D12"/>
    <mergeCell ref="F12:I12"/>
    <mergeCell ref="C10:D10"/>
    <mergeCell ref="F10:I10"/>
    <mergeCell ref="C11:D11"/>
  </mergeCells>
  <conditionalFormatting sqref="E37">
    <cfRule type="expression" dxfId="52" priority="46">
      <formula>AND($J10="A", $E37&lt;=0)</formula>
    </cfRule>
    <cfRule type="expression" dxfId="51" priority="47">
      <formula>AND($J10="A", $E37&lt;=0.06)</formula>
    </cfRule>
    <cfRule type="expression" dxfId="50" priority="48">
      <formula>AND($J10="A", $E37&gt;0.06)</formula>
    </cfRule>
  </conditionalFormatting>
  <conditionalFormatting sqref="E38">
    <cfRule type="expression" dxfId="49" priority="43">
      <formula>AND($J10="B", $E38&lt;=0)</formula>
    </cfRule>
    <cfRule type="expression" dxfId="48" priority="44">
      <formula>AND($J10="B", $E38&lt;=0.06)</formula>
    </cfRule>
    <cfRule type="expression" dxfId="47" priority="45">
      <formula>AND($J10="B", $E38&gt;0.06)</formula>
    </cfRule>
  </conditionalFormatting>
  <conditionalFormatting sqref="E39">
    <cfRule type="expression" dxfId="46" priority="40">
      <formula>AND($J10="C", $E39&lt;=0)</formula>
    </cfRule>
    <cfRule type="expression" dxfId="45" priority="41">
      <formula>AND($J10="C", $E39&lt;=0.06)</formula>
    </cfRule>
    <cfRule type="expression" dxfId="44" priority="42">
      <formula>AND($J10="C", $E39&gt;0.06)</formula>
    </cfRule>
  </conditionalFormatting>
  <conditionalFormatting sqref="E40">
    <cfRule type="expression" dxfId="43" priority="37">
      <formula>AND($J10="D", $E40&lt;=0)</formula>
    </cfRule>
    <cfRule type="expression" dxfId="42" priority="38">
      <formula>AND($J10="D", $E40&lt;=0.06)</formula>
    </cfRule>
    <cfRule type="expression" dxfId="41" priority="39">
      <formula>AND($J10="D", $E40&gt;0.06)</formula>
    </cfRule>
  </conditionalFormatting>
  <conditionalFormatting sqref="E41">
    <cfRule type="expression" dxfId="40" priority="34">
      <formula>AND($J10="E", $E41&lt;=0)</formula>
    </cfRule>
    <cfRule type="expression" dxfId="39" priority="35">
      <formula>AND($J10="E", $E41&lt;=0.06)</formula>
    </cfRule>
    <cfRule type="expression" dxfId="38" priority="36">
      <formula>AND($J10="E", $E41&gt;0.06)</formula>
    </cfRule>
  </conditionalFormatting>
  <conditionalFormatting sqref="E42">
    <cfRule type="expression" dxfId="37" priority="31">
      <formula>AND($J10="F", $E42&lt;=0)</formula>
    </cfRule>
    <cfRule type="expression" dxfId="36" priority="32">
      <formula>AND($J10="F", $E42&lt;=0.06)</formula>
    </cfRule>
    <cfRule type="expression" dxfId="35" priority="33">
      <formula>AND($J10="F", $E42&gt;0.06)</formula>
    </cfRule>
  </conditionalFormatting>
  <conditionalFormatting sqref="E43">
    <cfRule type="expression" dxfId="34" priority="28">
      <formula>AND($J10="G", $E43&lt;=0)</formula>
    </cfRule>
    <cfRule type="expression" dxfId="33" priority="29">
      <formula>AND($J10="G", $E43&lt;=0.06)</formula>
    </cfRule>
    <cfRule type="expression" dxfId="32" priority="30">
      <formula>AND($J10="G", $E43&gt;0.06)</formula>
    </cfRule>
  </conditionalFormatting>
  <conditionalFormatting sqref="H48">
    <cfRule type="expression" dxfId="31" priority="55" stopIfTrue="1">
      <formula>$G$48&gt;=0.06</formula>
    </cfRule>
    <cfRule type="expression" dxfId="30" priority="60" stopIfTrue="1">
      <formula>$G$48&lt;0.06</formula>
    </cfRule>
  </conditionalFormatting>
  <conditionalFormatting sqref="H49">
    <cfRule type="expression" dxfId="29" priority="56" stopIfTrue="1">
      <formula>$G$49&gt;=0.06</formula>
    </cfRule>
    <cfRule type="expression" dxfId="28" priority="59" stopIfTrue="1">
      <formula>$G$49&lt;0.06</formula>
    </cfRule>
  </conditionalFormatting>
  <conditionalFormatting sqref="H50">
    <cfRule type="expression" dxfId="27" priority="57" stopIfTrue="1">
      <formula>$G$50&gt;=0.06</formula>
    </cfRule>
    <cfRule type="expression" dxfId="26" priority="58" stopIfTrue="1">
      <formula>$G$50&lt;0.06</formula>
    </cfRule>
  </conditionalFormatting>
  <conditionalFormatting sqref="L37:L42">
    <cfRule type="cellIs" dxfId="25" priority="1" operator="equal">
      <formula>$K$10</formula>
    </cfRule>
  </conditionalFormatting>
  <conditionalFormatting sqref="M37">
    <cfRule type="expression" dxfId="24" priority="104">
      <formula>AND($K10="A+++", $M37&lt;=0)</formula>
    </cfRule>
    <cfRule type="expression" dxfId="23" priority="105">
      <formula>AND($K10="A+++", $M37&lt;=0.06)</formula>
    </cfRule>
    <cfRule type="expression" dxfId="22" priority="106">
      <formula>AND($K10="A+++", $M37&gt;0.06)</formula>
    </cfRule>
  </conditionalFormatting>
  <conditionalFormatting sqref="M38">
    <cfRule type="expression" dxfId="21" priority="107">
      <formula>AND($K10="A++", $M38&lt;=0)</formula>
    </cfRule>
    <cfRule type="expression" dxfId="20" priority="108">
      <formula>AND($K10="A++", $M38&lt;=0.06)</formula>
    </cfRule>
    <cfRule type="expression" dxfId="19" priority="109">
      <formula>AND($K10="A++", $M38&gt;0.06)</formula>
    </cfRule>
  </conditionalFormatting>
  <conditionalFormatting sqref="M39">
    <cfRule type="expression" dxfId="18" priority="110">
      <formula>AND($K10="A+", $M39&lt;=0)</formula>
    </cfRule>
    <cfRule type="expression" dxfId="17" priority="111">
      <formula>AND($K10="A+", $M39&lt;=0.06)</formula>
    </cfRule>
    <cfRule type="expression" dxfId="16" priority="112">
      <formula>AND($K10="A+", $E39&gt;0.06)</formula>
    </cfRule>
  </conditionalFormatting>
  <conditionalFormatting sqref="M40">
    <cfRule type="expression" dxfId="15" priority="113">
      <formula>AND($K10="A", $M40&lt;=0)</formula>
    </cfRule>
    <cfRule type="expression" dxfId="14" priority="114">
      <formula>AND($K10="A", $M40&lt;=0.06)</formula>
    </cfRule>
    <cfRule type="expression" dxfId="13" priority="115">
      <formula>AND($K10="A", $M8&gt;0.06)</formula>
    </cfRule>
  </conditionalFormatting>
  <conditionalFormatting sqref="M41">
    <cfRule type="expression" dxfId="12" priority="116">
      <formula>AND($K10="B", $M41&lt;=0)</formula>
    </cfRule>
    <cfRule type="expression" dxfId="11" priority="117">
      <formula>AND($K10="B", $M41&lt;=0.06)</formula>
    </cfRule>
    <cfRule type="expression" dxfId="10" priority="118">
      <formula>AND($K10="B", $M41&gt;0.06)</formula>
    </cfRule>
  </conditionalFormatting>
  <conditionalFormatting sqref="M42">
    <cfRule type="expression" dxfId="9" priority="119">
      <formula>AND($K10="C", $M$42&lt;=0)</formula>
    </cfRule>
    <cfRule type="expression" dxfId="8" priority="120">
      <formula>AND($K10="C", $M42&lt;=0.06)</formula>
    </cfRule>
    <cfRule type="expression" dxfId="7" priority="121">
      <formula>AND($K10="C", $M42&gt;0.06)</formula>
    </cfRule>
  </conditionalFormatting>
  <conditionalFormatting sqref="P48">
    <cfRule type="expression" dxfId="6" priority="22" stopIfTrue="1">
      <formula>$O$48&gt;=0.06</formula>
    </cfRule>
    <cfRule type="expression" dxfId="5" priority="27" stopIfTrue="1">
      <formula>$O$48&lt;0.06</formula>
    </cfRule>
  </conditionalFormatting>
  <conditionalFormatting sqref="P49">
    <cfRule type="expression" dxfId="4" priority="23" stopIfTrue="1">
      <formula>$O$49&gt;=0.06</formula>
    </cfRule>
    <cfRule type="expression" dxfId="3" priority="26" stopIfTrue="1">
      <formula>$O$49&lt;0.06</formula>
    </cfRule>
  </conditionalFormatting>
  <conditionalFormatting sqref="P50">
    <cfRule type="expression" dxfId="2" priority="24" stopIfTrue="1">
      <formula>$O$50&gt;=0.06</formula>
    </cfRule>
    <cfRule type="expression" dxfId="1" priority="25" stopIfTrue="1">
      <formula>$O$50&lt;0.06</formula>
    </cfRule>
  </conditionalFormatting>
  <dataValidations disablePrompts="1" count="2">
    <dataValidation type="list" allowBlank="1" showInputMessage="1" showErrorMessage="1" sqref="WVK983053:WVL983053 IY7:IZ7 SU7:SV7 ACQ7:ACR7 AMM7:AMN7 AWI7:AWJ7 BGE7:BGF7 BQA7:BQB7 BZW7:BZX7 CJS7:CJT7 CTO7:CTP7 DDK7:DDL7 DNG7:DNH7 DXC7:DXD7 EGY7:EGZ7 EQU7:EQV7 FAQ7:FAR7 FKM7:FKN7 FUI7:FUJ7 GEE7:GEF7 GOA7:GOB7 GXW7:GXX7 HHS7:HHT7 HRO7:HRP7 IBK7:IBL7 ILG7:ILH7 IVC7:IVD7 JEY7:JEZ7 JOU7:JOV7 JYQ7:JYR7 KIM7:KIN7 KSI7:KSJ7 LCE7:LCF7 LMA7:LMB7 LVW7:LVX7 MFS7:MFT7 MPO7:MPP7 MZK7:MZL7 NJG7:NJH7 NTC7:NTD7 OCY7:OCZ7 OMU7:OMV7 OWQ7:OWR7 PGM7:PGN7 PQI7:PQJ7 QAE7:QAF7 QKA7:QKB7 QTW7:QTX7 RDS7:RDT7 RNO7:RNP7 RXK7:RXL7 SHG7:SHH7 SRC7:SRD7 TAY7:TAZ7 TKU7:TKV7 TUQ7:TUR7 UEM7:UEN7 UOI7:UOJ7 UYE7:UYF7 VIA7:VIB7 VRW7:VRX7 WBS7:WBT7 WLO7:WLP7 WVK7:WVL7 C65551:D65551 IY65549:IZ65549 SU65549:SV65549 ACQ65549:ACR65549 AMM65549:AMN65549 AWI65549:AWJ65549 BGE65549:BGF65549 BQA65549:BQB65549 BZW65549:BZX65549 CJS65549:CJT65549 CTO65549:CTP65549 DDK65549:DDL65549 DNG65549:DNH65549 DXC65549:DXD65549 EGY65549:EGZ65549 EQU65549:EQV65549 FAQ65549:FAR65549 FKM65549:FKN65549 FUI65549:FUJ65549 GEE65549:GEF65549 GOA65549:GOB65549 GXW65549:GXX65549 HHS65549:HHT65549 HRO65549:HRP65549 IBK65549:IBL65549 ILG65549:ILH65549 IVC65549:IVD65549 JEY65549:JEZ65549 JOU65549:JOV65549 JYQ65549:JYR65549 KIM65549:KIN65549 KSI65549:KSJ65549 LCE65549:LCF65549 LMA65549:LMB65549 LVW65549:LVX65549 MFS65549:MFT65549 MPO65549:MPP65549 MZK65549:MZL65549 NJG65549:NJH65549 NTC65549:NTD65549 OCY65549:OCZ65549 OMU65549:OMV65549 OWQ65549:OWR65549 PGM65549:PGN65549 PQI65549:PQJ65549 QAE65549:QAF65549 QKA65549:QKB65549 QTW65549:QTX65549 RDS65549:RDT65549 RNO65549:RNP65549 RXK65549:RXL65549 SHG65549:SHH65549 SRC65549:SRD65549 TAY65549:TAZ65549 TKU65549:TKV65549 TUQ65549:TUR65549 UEM65549:UEN65549 UOI65549:UOJ65549 UYE65549:UYF65549 VIA65549:VIB65549 VRW65549:VRX65549 WBS65549:WBT65549 WLO65549:WLP65549 WVK65549:WVL65549 C131087:D131087 IY131085:IZ131085 SU131085:SV131085 ACQ131085:ACR131085 AMM131085:AMN131085 AWI131085:AWJ131085 BGE131085:BGF131085 BQA131085:BQB131085 BZW131085:BZX131085 CJS131085:CJT131085 CTO131085:CTP131085 DDK131085:DDL131085 DNG131085:DNH131085 DXC131085:DXD131085 EGY131085:EGZ131085 EQU131085:EQV131085 FAQ131085:FAR131085 FKM131085:FKN131085 FUI131085:FUJ131085 GEE131085:GEF131085 GOA131085:GOB131085 GXW131085:GXX131085 HHS131085:HHT131085 HRO131085:HRP131085 IBK131085:IBL131085 ILG131085:ILH131085 IVC131085:IVD131085 JEY131085:JEZ131085 JOU131085:JOV131085 JYQ131085:JYR131085 KIM131085:KIN131085 KSI131085:KSJ131085 LCE131085:LCF131085 LMA131085:LMB131085 LVW131085:LVX131085 MFS131085:MFT131085 MPO131085:MPP131085 MZK131085:MZL131085 NJG131085:NJH131085 NTC131085:NTD131085 OCY131085:OCZ131085 OMU131085:OMV131085 OWQ131085:OWR131085 PGM131085:PGN131085 PQI131085:PQJ131085 QAE131085:QAF131085 QKA131085:QKB131085 QTW131085:QTX131085 RDS131085:RDT131085 RNO131085:RNP131085 RXK131085:RXL131085 SHG131085:SHH131085 SRC131085:SRD131085 TAY131085:TAZ131085 TKU131085:TKV131085 TUQ131085:TUR131085 UEM131085:UEN131085 UOI131085:UOJ131085 UYE131085:UYF131085 VIA131085:VIB131085 VRW131085:VRX131085 WBS131085:WBT131085 WLO131085:WLP131085 WVK131085:WVL131085 C196623:D196623 IY196621:IZ196621 SU196621:SV196621 ACQ196621:ACR196621 AMM196621:AMN196621 AWI196621:AWJ196621 BGE196621:BGF196621 BQA196621:BQB196621 BZW196621:BZX196621 CJS196621:CJT196621 CTO196621:CTP196621 DDK196621:DDL196621 DNG196621:DNH196621 DXC196621:DXD196621 EGY196621:EGZ196621 EQU196621:EQV196621 FAQ196621:FAR196621 FKM196621:FKN196621 FUI196621:FUJ196621 GEE196621:GEF196621 GOA196621:GOB196621 GXW196621:GXX196621 HHS196621:HHT196621 HRO196621:HRP196621 IBK196621:IBL196621 ILG196621:ILH196621 IVC196621:IVD196621 JEY196621:JEZ196621 JOU196621:JOV196621 JYQ196621:JYR196621 KIM196621:KIN196621 KSI196621:KSJ196621 LCE196621:LCF196621 LMA196621:LMB196621 LVW196621:LVX196621 MFS196621:MFT196621 MPO196621:MPP196621 MZK196621:MZL196621 NJG196621:NJH196621 NTC196621:NTD196621 OCY196621:OCZ196621 OMU196621:OMV196621 OWQ196621:OWR196621 PGM196621:PGN196621 PQI196621:PQJ196621 QAE196621:QAF196621 QKA196621:QKB196621 QTW196621:QTX196621 RDS196621:RDT196621 RNO196621:RNP196621 RXK196621:RXL196621 SHG196621:SHH196621 SRC196621:SRD196621 TAY196621:TAZ196621 TKU196621:TKV196621 TUQ196621:TUR196621 UEM196621:UEN196621 UOI196621:UOJ196621 UYE196621:UYF196621 VIA196621:VIB196621 VRW196621:VRX196621 WBS196621:WBT196621 WLO196621:WLP196621 WVK196621:WVL196621 C262159:D262159 IY262157:IZ262157 SU262157:SV262157 ACQ262157:ACR262157 AMM262157:AMN262157 AWI262157:AWJ262157 BGE262157:BGF262157 BQA262157:BQB262157 BZW262157:BZX262157 CJS262157:CJT262157 CTO262157:CTP262157 DDK262157:DDL262157 DNG262157:DNH262157 DXC262157:DXD262157 EGY262157:EGZ262157 EQU262157:EQV262157 FAQ262157:FAR262157 FKM262157:FKN262157 FUI262157:FUJ262157 GEE262157:GEF262157 GOA262157:GOB262157 GXW262157:GXX262157 HHS262157:HHT262157 HRO262157:HRP262157 IBK262157:IBL262157 ILG262157:ILH262157 IVC262157:IVD262157 JEY262157:JEZ262157 JOU262157:JOV262157 JYQ262157:JYR262157 KIM262157:KIN262157 KSI262157:KSJ262157 LCE262157:LCF262157 LMA262157:LMB262157 LVW262157:LVX262157 MFS262157:MFT262157 MPO262157:MPP262157 MZK262157:MZL262157 NJG262157:NJH262157 NTC262157:NTD262157 OCY262157:OCZ262157 OMU262157:OMV262157 OWQ262157:OWR262157 PGM262157:PGN262157 PQI262157:PQJ262157 QAE262157:QAF262157 QKA262157:QKB262157 QTW262157:QTX262157 RDS262157:RDT262157 RNO262157:RNP262157 RXK262157:RXL262157 SHG262157:SHH262157 SRC262157:SRD262157 TAY262157:TAZ262157 TKU262157:TKV262157 TUQ262157:TUR262157 UEM262157:UEN262157 UOI262157:UOJ262157 UYE262157:UYF262157 VIA262157:VIB262157 VRW262157:VRX262157 WBS262157:WBT262157 WLO262157:WLP262157 WVK262157:WVL262157 C327695:D327695 IY327693:IZ327693 SU327693:SV327693 ACQ327693:ACR327693 AMM327693:AMN327693 AWI327693:AWJ327693 BGE327693:BGF327693 BQA327693:BQB327693 BZW327693:BZX327693 CJS327693:CJT327693 CTO327693:CTP327693 DDK327693:DDL327693 DNG327693:DNH327693 DXC327693:DXD327693 EGY327693:EGZ327693 EQU327693:EQV327693 FAQ327693:FAR327693 FKM327693:FKN327693 FUI327693:FUJ327693 GEE327693:GEF327693 GOA327693:GOB327693 GXW327693:GXX327693 HHS327693:HHT327693 HRO327693:HRP327693 IBK327693:IBL327693 ILG327693:ILH327693 IVC327693:IVD327693 JEY327693:JEZ327693 JOU327693:JOV327693 JYQ327693:JYR327693 KIM327693:KIN327693 KSI327693:KSJ327693 LCE327693:LCF327693 LMA327693:LMB327693 LVW327693:LVX327693 MFS327693:MFT327693 MPO327693:MPP327693 MZK327693:MZL327693 NJG327693:NJH327693 NTC327693:NTD327693 OCY327693:OCZ327693 OMU327693:OMV327693 OWQ327693:OWR327693 PGM327693:PGN327693 PQI327693:PQJ327693 QAE327693:QAF327693 QKA327693:QKB327693 QTW327693:QTX327693 RDS327693:RDT327693 RNO327693:RNP327693 RXK327693:RXL327693 SHG327693:SHH327693 SRC327693:SRD327693 TAY327693:TAZ327693 TKU327693:TKV327693 TUQ327693:TUR327693 UEM327693:UEN327693 UOI327693:UOJ327693 UYE327693:UYF327693 VIA327693:VIB327693 VRW327693:VRX327693 WBS327693:WBT327693 WLO327693:WLP327693 WVK327693:WVL327693 C393231:D393231 IY393229:IZ393229 SU393229:SV393229 ACQ393229:ACR393229 AMM393229:AMN393229 AWI393229:AWJ393229 BGE393229:BGF393229 BQA393229:BQB393229 BZW393229:BZX393229 CJS393229:CJT393229 CTO393229:CTP393229 DDK393229:DDL393229 DNG393229:DNH393229 DXC393229:DXD393229 EGY393229:EGZ393229 EQU393229:EQV393229 FAQ393229:FAR393229 FKM393229:FKN393229 FUI393229:FUJ393229 GEE393229:GEF393229 GOA393229:GOB393229 GXW393229:GXX393229 HHS393229:HHT393229 HRO393229:HRP393229 IBK393229:IBL393229 ILG393229:ILH393229 IVC393229:IVD393229 JEY393229:JEZ393229 JOU393229:JOV393229 JYQ393229:JYR393229 KIM393229:KIN393229 KSI393229:KSJ393229 LCE393229:LCF393229 LMA393229:LMB393229 LVW393229:LVX393229 MFS393229:MFT393229 MPO393229:MPP393229 MZK393229:MZL393229 NJG393229:NJH393229 NTC393229:NTD393229 OCY393229:OCZ393229 OMU393229:OMV393229 OWQ393229:OWR393229 PGM393229:PGN393229 PQI393229:PQJ393229 QAE393229:QAF393229 QKA393229:QKB393229 QTW393229:QTX393229 RDS393229:RDT393229 RNO393229:RNP393229 RXK393229:RXL393229 SHG393229:SHH393229 SRC393229:SRD393229 TAY393229:TAZ393229 TKU393229:TKV393229 TUQ393229:TUR393229 UEM393229:UEN393229 UOI393229:UOJ393229 UYE393229:UYF393229 VIA393229:VIB393229 VRW393229:VRX393229 WBS393229:WBT393229 WLO393229:WLP393229 WVK393229:WVL393229 C458767:D458767 IY458765:IZ458765 SU458765:SV458765 ACQ458765:ACR458765 AMM458765:AMN458765 AWI458765:AWJ458765 BGE458765:BGF458765 BQA458765:BQB458765 BZW458765:BZX458765 CJS458765:CJT458765 CTO458765:CTP458765 DDK458765:DDL458765 DNG458765:DNH458765 DXC458765:DXD458765 EGY458765:EGZ458765 EQU458765:EQV458765 FAQ458765:FAR458765 FKM458765:FKN458765 FUI458765:FUJ458765 GEE458765:GEF458765 GOA458765:GOB458765 GXW458765:GXX458765 HHS458765:HHT458765 HRO458765:HRP458765 IBK458765:IBL458765 ILG458765:ILH458765 IVC458765:IVD458765 JEY458765:JEZ458765 JOU458765:JOV458765 JYQ458765:JYR458765 KIM458765:KIN458765 KSI458765:KSJ458765 LCE458765:LCF458765 LMA458765:LMB458765 LVW458765:LVX458765 MFS458765:MFT458765 MPO458765:MPP458765 MZK458765:MZL458765 NJG458765:NJH458765 NTC458765:NTD458765 OCY458765:OCZ458765 OMU458765:OMV458765 OWQ458765:OWR458765 PGM458765:PGN458765 PQI458765:PQJ458765 QAE458765:QAF458765 QKA458765:QKB458765 QTW458765:QTX458765 RDS458765:RDT458765 RNO458765:RNP458765 RXK458765:RXL458765 SHG458765:SHH458765 SRC458765:SRD458765 TAY458765:TAZ458765 TKU458765:TKV458765 TUQ458765:TUR458765 UEM458765:UEN458765 UOI458765:UOJ458765 UYE458765:UYF458765 VIA458765:VIB458765 VRW458765:VRX458765 WBS458765:WBT458765 WLO458765:WLP458765 WVK458765:WVL458765 C524303:D524303 IY524301:IZ524301 SU524301:SV524301 ACQ524301:ACR524301 AMM524301:AMN524301 AWI524301:AWJ524301 BGE524301:BGF524301 BQA524301:BQB524301 BZW524301:BZX524301 CJS524301:CJT524301 CTO524301:CTP524301 DDK524301:DDL524301 DNG524301:DNH524301 DXC524301:DXD524301 EGY524301:EGZ524301 EQU524301:EQV524301 FAQ524301:FAR524301 FKM524301:FKN524301 FUI524301:FUJ524301 GEE524301:GEF524301 GOA524301:GOB524301 GXW524301:GXX524301 HHS524301:HHT524301 HRO524301:HRP524301 IBK524301:IBL524301 ILG524301:ILH524301 IVC524301:IVD524301 JEY524301:JEZ524301 JOU524301:JOV524301 JYQ524301:JYR524301 KIM524301:KIN524301 KSI524301:KSJ524301 LCE524301:LCF524301 LMA524301:LMB524301 LVW524301:LVX524301 MFS524301:MFT524301 MPO524301:MPP524301 MZK524301:MZL524301 NJG524301:NJH524301 NTC524301:NTD524301 OCY524301:OCZ524301 OMU524301:OMV524301 OWQ524301:OWR524301 PGM524301:PGN524301 PQI524301:PQJ524301 QAE524301:QAF524301 QKA524301:QKB524301 QTW524301:QTX524301 RDS524301:RDT524301 RNO524301:RNP524301 RXK524301:RXL524301 SHG524301:SHH524301 SRC524301:SRD524301 TAY524301:TAZ524301 TKU524301:TKV524301 TUQ524301:TUR524301 UEM524301:UEN524301 UOI524301:UOJ524301 UYE524301:UYF524301 VIA524301:VIB524301 VRW524301:VRX524301 WBS524301:WBT524301 WLO524301:WLP524301 WVK524301:WVL524301 C589839:D589839 IY589837:IZ589837 SU589837:SV589837 ACQ589837:ACR589837 AMM589837:AMN589837 AWI589837:AWJ589837 BGE589837:BGF589837 BQA589837:BQB589837 BZW589837:BZX589837 CJS589837:CJT589837 CTO589837:CTP589837 DDK589837:DDL589837 DNG589837:DNH589837 DXC589837:DXD589837 EGY589837:EGZ589837 EQU589837:EQV589837 FAQ589837:FAR589837 FKM589837:FKN589837 FUI589837:FUJ589837 GEE589837:GEF589837 GOA589837:GOB589837 GXW589837:GXX589837 HHS589837:HHT589837 HRO589837:HRP589837 IBK589837:IBL589837 ILG589837:ILH589837 IVC589837:IVD589837 JEY589837:JEZ589837 JOU589837:JOV589837 JYQ589837:JYR589837 KIM589837:KIN589837 KSI589837:KSJ589837 LCE589837:LCF589837 LMA589837:LMB589837 LVW589837:LVX589837 MFS589837:MFT589837 MPO589837:MPP589837 MZK589837:MZL589837 NJG589837:NJH589837 NTC589837:NTD589837 OCY589837:OCZ589837 OMU589837:OMV589837 OWQ589837:OWR589837 PGM589837:PGN589837 PQI589837:PQJ589837 QAE589837:QAF589837 QKA589837:QKB589837 QTW589837:QTX589837 RDS589837:RDT589837 RNO589837:RNP589837 RXK589837:RXL589837 SHG589837:SHH589837 SRC589837:SRD589837 TAY589837:TAZ589837 TKU589837:TKV589837 TUQ589837:TUR589837 UEM589837:UEN589837 UOI589837:UOJ589837 UYE589837:UYF589837 VIA589837:VIB589837 VRW589837:VRX589837 WBS589837:WBT589837 WLO589837:WLP589837 WVK589837:WVL589837 C655375:D655375 IY655373:IZ655373 SU655373:SV655373 ACQ655373:ACR655373 AMM655373:AMN655373 AWI655373:AWJ655373 BGE655373:BGF655373 BQA655373:BQB655373 BZW655373:BZX655373 CJS655373:CJT655373 CTO655373:CTP655373 DDK655373:DDL655373 DNG655373:DNH655373 DXC655373:DXD655373 EGY655373:EGZ655373 EQU655373:EQV655373 FAQ655373:FAR655373 FKM655373:FKN655373 FUI655373:FUJ655373 GEE655373:GEF655373 GOA655373:GOB655373 GXW655373:GXX655373 HHS655373:HHT655373 HRO655373:HRP655373 IBK655373:IBL655373 ILG655373:ILH655373 IVC655373:IVD655373 JEY655373:JEZ655373 JOU655373:JOV655373 JYQ655373:JYR655373 KIM655373:KIN655373 KSI655373:KSJ655373 LCE655373:LCF655373 LMA655373:LMB655373 LVW655373:LVX655373 MFS655373:MFT655373 MPO655373:MPP655373 MZK655373:MZL655373 NJG655373:NJH655373 NTC655373:NTD655373 OCY655373:OCZ655373 OMU655373:OMV655373 OWQ655373:OWR655373 PGM655373:PGN655373 PQI655373:PQJ655373 QAE655373:QAF655373 QKA655373:QKB655373 QTW655373:QTX655373 RDS655373:RDT655373 RNO655373:RNP655373 RXK655373:RXL655373 SHG655373:SHH655373 SRC655373:SRD655373 TAY655373:TAZ655373 TKU655373:TKV655373 TUQ655373:TUR655373 UEM655373:UEN655373 UOI655373:UOJ655373 UYE655373:UYF655373 VIA655373:VIB655373 VRW655373:VRX655373 WBS655373:WBT655373 WLO655373:WLP655373 WVK655373:WVL655373 C720911:D720911 IY720909:IZ720909 SU720909:SV720909 ACQ720909:ACR720909 AMM720909:AMN720909 AWI720909:AWJ720909 BGE720909:BGF720909 BQA720909:BQB720909 BZW720909:BZX720909 CJS720909:CJT720909 CTO720909:CTP720909 DDK720909:DDL720909 DNG720909:DNH720909 DXC720909:DXD720909 EGY720909:EGZ720909 EQU720909:EQV720909 FAQ720909:FAR720909 FKM720909:FKN720909 FUI720909:FUJ720909 GEE720909:GEF720909 GOA720909:GOB720909 GXW720909:GXX720909 HHS720909:HHT720909 HRO720909:HRP720909 IBK720909:IBL720909 ILG720909:ILH720909 IVC720909:IVD720909 JEY720909:JEZ720909 JOU720909:JOV720909 JYQ720909:JYR720909 KIM720909:KIN720909 KSI720909:KSJ720909 LCE720909:LCF720909 LMA720909:LMB720909 LVW720909:LVX720909 MFS720909:MFT720909 MPO720909:MPP720909 MZK720909:MZL720909 NJG720909:NJH720909 NTC720909:NTD720909 OCY720909:OCZ720909 OMU720909:OMV720909 OWQ720909:OWR720909 PGM720909:PGN720909 PQI720909:PQJ720909 QAE720909:QAF720909 QKA720909:QKB720909 QTW720909:QTX720909 RDS720909:RDT720909 RNO720909:RNP720909 RXK720909:RXL720909 SHG720909:SHH720909 SRC720909:SRD720909 TAY720909:TAZ720909 TKU720909:TKV720909 TUQ720909:TUR720909 UEM720909:UEN720909 UOI720909:UOJ720909 UYE720909:UYF720909 VIA720909:VIB720909 VRW720909:VRX720909 WBS720909:WBT720909 WLO720909:WLP720909 WVK720909:WVL720909 C786447:D786447 IY786445:IZ786445 SU786445:SV786445 ACQ786445:ACR786445 AMM786445:AMN786445 AWI786445:AWJ786445 BGE786445:BGF786445 BQA786445:BQB786445 BZW786445:BZX786445 CJS786445:CJT786445 CTO786445:CTP786445 DDK786445:DDL786445 DNG786445:DNH786445 DXC786445:DXD786445 EGY786445:EGZ786445 EQU786445:EQV786445 FAQ786445:FAR786445 FKM786445:FKN786445 FUI786445:FUJ786445 GEE786445:GEF786445 GOA786445:GOB786445 GXW786445:GXX786445 HHS786445:HHT786445 HRO786445:HRP786445 IBK786445:IBL786445 ILG786445:ILH786445 IVC786445:IVD786445 JEY786445:JEZ786445 JOU786445:JOV786445 JYQ786445:JYR786445 KIM786445:KIN786445 KSI786445:KSJ786445 LCE786445:LCF786445 LMA786445:LMB786445 LVW786445:LVX786445 MFS786445:MFT786445 MPO786445:MPP786445 MZK786445:MZL786445 NJG786445:NJH786445 NTC786445:NTD786445 OCY786445:OCZ786445 OMU786445:OMV786445 OWQ786445:OWR786445 PGM786445:PGN786445 PQI786445:PQJ786445 QAE786445:QAF786445 QKA786445:QKB786445 QTW786445:QTX786445 RDS786445:RDT786445 RNO786445:RNP786445 RXK786445:RXL786445 SHG786445:SHH786445 SRC786445:SRD786445 TAY786445:TAZ786445 TKU786445:TKV786445 TUQ786445:TUR786445 UEM786445:UEN786445 UOI786445:UOJ786445 UYE786445:UYF786445 VIA786445:VIB786445 VRW786445:VRX786445 WBS786445:WBT786445 WLO786445:WLP786445 WVK786445:WVL786445 C851983:D851983 IY851981:IZ851981 SU851981:SV851981 ACQ851981:ACR851981 AMM851981:AMN851981 AWI851981:AWJ851981 BGE851981:BGF851981 BQA851981:BQB851981 BZW851981:BZX851981 CJS851981:CJT851981 CTO851981:CTP851981 DDK851981:DDL851981 DNG851981:DNH851981 DXC851981:DXD851981 EGY851981:EGZ851981 EQU851981:EQV851981 FAQ851981:FAR851981 FKM851981:FKN851981 FUI851981:FUJ851981 GEE851981:GEF851981 GOA851981:GOB851981 GXW851981:GXX851981 HHS851981:HHT851981 HRO851981:HRP851981 IBK851981:IBL851981 ILG851981:ILH851981 IVC851981:IVD851981 JEY851981:JEZ851981 JOU851981:JOV851981 JYQ851981:JYR851981 KIM851981:KIN851981 KSI851981:KSJ851981 LCE851981:LCF851981 LMA851981:LMB851981 LVW851981:LVX851981 MFS851981:MFT851981 MPO851981:MPP851981 MZK851981:MZL851981 NJG851981:NJH851981 NTC851981:NTD851981 OCY851981:OCZ851981 OMU851981:OMV851981 OWQ851981:OWR851981 PGM851981:PGN851981 PQI851981:PQJ851981 QAE851981:QAF851981 QKA851981:QKB851981 QTW851981:QTX851981 RDS851981:RDT851981 RNO851981:RNP851981 RXK851981:RXL851981 SHG851981:SHH851981 SRC851981:SRD851981 TAY851981:TAZ851981 TKU851981:TKV851981 TUQ851981:TUR851981 UEM851981:UEN851981 UOI851981:UOJ851981 UYE851981:UYF851981 VIA851981:VIB851981 VRW851981:VRX851981 WBS851981:WBT851981 WLO851981:WLP851981 WVK851981:WVL851981 C917519:D917519 IY917517:IZ917517 SU917517:SV917517 ACQ917517:ACR917517 AMM917517:AMN917517 AWI917517:AWJ917517 BGE917517:BGF917517 BQA917517:BQB917517 BZW917517:BZX917517 CJS917517:CJT917517 CTO917517:CTP917517 DDK917517:DDL917517 DNG917517:DNH917517 DXC917517:DXD917517 EGY917517:EGZ917517 EQU917517:EQV917517 FAQ917517:FAR917517 FKM917517:FKN917517 FUI917517:FUJ917517 GEE917517:GEF917517 GOA917517:GOB917517 GXW917517:GXX917517 HHS917517:HHT917517 HRO917517:HRP917517 IBK917517:IBL917517 ILG917517:ILH917517 IVC917517:IVD917517 JEY917517:JEZ917517 JOU917517:JOV917517 JYQ917517:JYR917517 KIM917517:KIN917517 KSI917517:KSJ917517 LCE917517:LCF917517 LMA917517:LMB917517 LVW917517:LVX917517 MFS917517:MFT917517 MPO917517:MPP917517 MZK917517:MZL917517 NJG917517:NJH917517 NTC917517:NTD917517 OCY917517:OCZ917517 OMU917517:OMV917517 OWQ917517:OWR917517 PGM917517:PGN917517 PQI917517:PQJ917517 QAE917517:QAF917517 QKA917517:QKB917517 QTW917517:QTX917517 RDS917517:RDT917517 RNO917517:RNP917517 RXK917517:RXL917517 SHG917517:SHH917517 SRC917517:SRD917517 TAY917517:TAZ917517 TKU917517:TKV917517 TUQ917517:TUR917517 UEM917517:UEN917517 UOI917517:UOJ917517 UYE917517:UYF917517 VIA917517:VIB917517 VRW917517:VRX917517 WBS917517:WBT917517 WLO917517:WLP917517 WVK917517:WVL917517 C983055:D983055 IY983053:IZ983053 SU983053:SV983053 ACQ983053:ACR983053 AMM983053:AMN983053 AWI983053:AWJ983053 BGE983053:BGF983053 BQA983053:BQB983053 BZW983053:BZX983053 CJS983053:CJT983053 CTO983053:CTP983053 DDK983053:DDL983053 DNG983053:DNH983053 DXC983053:DXD983053 EGY983053:EGZ983053 EQU983053:EQV983053 FAQ983053:FAR983053 FKM983053:FKN983053 FUI983053:FUJ983053 GEE983053:GEF983053 GOA983053:GOB983053 GXW983053:GXX983053 HHS983053:HHT983053 HRO983053:HRP983053 IBK983053:IBL983053 ILG983053:ILH983053 IVC983053:IVD983053 JEY983053:JEZ983053 JOU983053:JOV983053 JYQ983053:JYR983053 KIM983053:KIN983053 KSI983053:KSJ983053 LCE983053:LCF983053 LMA983053:LMB983053 LVW983053:LVX983053 MFS983053:MFT983053 MPO983053:MPP983053 MZK983053:MZL983053 NJG983053:NJH983053 NTC983053:NTD983053 OCY983053:OCZ983053 OMU983053:OMV983053 OWQ983053:OWR983053 PGM983053:PGN983053 PQI983053:PQJ983053 QAE983053:QAF983053 QKA983053:QKB983053 QTW983053:QTX983053 RDS983053:RDT983053 RNO983053:RNP983053 RXK983053:RXL983053 SHG983053:SHH983053 SRC983053:SRD983053 TAY983053:TAZ983053 TKU983053:TKV983053 TUQ983053:TUR983053 UEM983053:UEN983053 UOI983053:UOJ983053 UYE983053:UYF983053 VIA983053:VIB983053 VRW983053:VRX983053 WBS983053:WBT983053 WLO983053:WLP983053" xr:uid="{00000000-0002-0000-0000-000000000000}">
      <formula1>ProductValues</formula1>
    </dataValidation>
    <dataValidation type="list" allowBlank="1" showInputMessage="1" sqref="WVK983054:WVL983054 IY8:IZ8 SU8:SV8 ACQ8:ACR8 AMM8:AMN8 AWI8:AWJ8 BGE8:BGF8 BQA8:BQB8 BZW8:BZX8 CJS8:CJT8 CTO8:CTP8 DDK8:DDL8 DNG8:DNH8 DXC8:DXD8 EGY8:EGZ8 EQU8:EQV8 FAQ8:FAR8 FKM8:FKN8 FUI8:FUJ8 GEE8:GEF8 GOA8:GOB8 GXW8:GXX8 HHS8:HHT8 HRO8:HRP8 IBK8:IBL8 ILG8:ILH8 IVC8:IVD8 JEY8:JEZ8 JOU8:JOV8 JYQ8:JYR8 KIM8:KIN8 KSI8:KSJ8 LCE8:LCF8 LMA8:LMB8 LVW8:LVX8 MFS8:MFT8 MPO8:MPP8 MZK8:MZL8 NJG8:NJH8 NTC8:NTD8 OCY8:OCZ8 OMU8:OMV8 OWQ8:OWR8 PGM8:PGN8 PQI8:PQJ8 QAE8:QAF8 QKA8:QKB8 QTW8:QTX8 RDS8:RDT8 RNO8:RNP8 RXK8:RXL8 SHG8:SHH8 SRC8:SRD8 TAY8:TAZ8 TKU8:TKV8 TUQ8:TUR8 UEM8:UEN8 UOI8:UOJ8 UYE8:UYF8 VIA8:VIB8 VRW8:VRX8 WBS8:WBT8 WLO8:WLP8 WVK8:WVL8 C65552:D65552 IY65550:IZ65550 SU65550:SV65550 ACQ65550:ACR65550 AMM65550:AMN65550 AWI65550:AWJ65550 BGE65550:BGF65550 BQA65550:BQB65550 BZW65550:BZX65550 CJS65550:CJT65550 CTO65550:CTP65550 DDK65550:DDL65550 DNG65550:DNH65550 DXC65550:DXD65550 EGY65550:EGZ65550 EQU65550:EQV65550 FAQ65550:FAR65550 FKM65550:FKN65550 FUI65550:FUJ65550 GEE65550:GEF65550 GOA65550:GOB65550 GXW65550:GXX65550 HHS65550:HHT65550 HRO65550:HRP65550 IBK65550:IBL65550 ILG65550:ILH65550 IVC65550:IVD65550 JEY65550:JEZ65550 JOU65550:JOV65550 JYQ65550:JYR65550 KIM65550:KIN65550 KSI65550:KSJ65550 LCE65550:LCF65550 LMA65550:LMB65550 LVW65550:LVX65550 MFS65550:MFT65550 MPO65550:MPP65550 MZK65550:MZL65550 NJG65550:NJH65550 NTC65550:NTD65550 OCY65550:OCZ65550 OMU65550:OMV65550 OWQ65550:OWR65550 PGM65550:PGN65550 PQI65550:PQJ65550 QAE65550:QAF65550 QKA65550:QKB65550 QTW65550:QTX65550 RDS65550:RDT65550 RNO65550:RNP65550 RXK65550:RXL65550 SHG65550:SHH65550 SRC65550:SRD65550 TAY65550:TAZ65550 TKU65550:TKV65550 TUQ65550:TUR65550 UEM65550:UEN65550 UOI65550:UOJ65550 UYE65550:UYF65550 VIA65550:VIB65550 VRW65550:VRX65550 WBS65550:WBT65550 WLO65550:WLP65550 WVK65550:WVL65550 C131088:D131088 IY131086:IZ131086 SU131086:SV131086 ACQ131086:ACR131086 AMM131086:AMN131086 AWI131086:AWJ131086 BGE131086:BGF131086 BQA131086:BQB131086 BZW131086:BZX131086 CJS131086:CJT131086 CTO131086:CTP131086 DDK131086:DDL131086 DNG131086:DNH131086 DXC131086:DXD131086 EGY131086:EGZ131086 EQU131086:EQV131086 FAQ131086:FAR131086 FKM131086:FKN131086 FUI131086:FUJ131086 GEE131086:GEF131086 GOA131086:GOB131086 GXW131086:GXX131086 HHS131086:HHT131086 HRO131086:HRP131086 IBK131086:IBL131086 ILG131086:ILH131086 IVC131086:IVD131086 JEY131086:JEZ131086 JOU131086:JOV131086 JYQ131086:JYR131086 KIM131086:KIN131086 KSI131086:KSJ131086 LCE131086:LCF131086 LMA131086:LMB131086 LVW131086:LVX131086 MFS131086:MFT131086 MPO131086:MPP131086 MZK131086:MZL131086 NJG131086:NJH131086 NTC131086:NTD131086 OCY131086:OCZ131086 OMU131086:OMV131086 OWQ131086:OWR131086 PGM131086:PGN131086 PQI131086:PQJ131086 QAE131086:QAF131086 QKA131086:QKB131086 QTW131086:QTX131086 RDS131086:RDT131086 RNO131086:RNP131086 RXK131086:RXL131086 SHG131086:SHH131086 SRC131086:SRD131086 TAY131086:TAZ131086 TKU131086:TKV131086 TUQ131086:TUR131086 UEM131086:UEN131086 UOI131086:UOJ131086 UYE131086:UYF131086 VIA131086:VIB131086 VRW131086:VRX131086 WBS131086:WBT131086 WLO131086:WLP131086 WVK131086:WVL131086 C196624:D196624 IY196622:IZ196622 SU196622:SV196622 ACQ196622:ACR196622 AMM196622:AMN196622 AWI196622:AWJ196622 BGE196622:BGF196622 BQA196622:BQB196622 BZW196622:BZX196622 CJS196622:CJT196622 CTO196622:CTP196622 DDK196622:DDL196622 DNG196622:DNH196622 DXC196622:DXD196622 EGY196622:EGZ196622 EQU196622:EQV196622 FAQ196622:FAR196622 FKM196622:FKN196622 FUI196622:FUJ196622 GEE196622:GEF196622 GOA196622:GOB196622 GXW196622:GXX196622 HHS196622:HHT196622 HRO196622:HRP196622 IBK196622:IBL196622 ILG196622:ILH196622 IVC196622:IVD196622 JEY196622:JEZ196622 JOU196622:JOV196622 JYQ196622:JYR196622 KIM196622:KIN196622 KSI196622:KSJ196622 LCE196622:LCF196622 LMA196622:LMB196622 LVW196622:LVX196622 MFS196622:MFT196622 MPO196622:MPP196622 MZK196622:MZL196622 NJG196622:NJH196622 NTC196622:NTD196622 OCY196622:OCZ196622 OMU196622:OMV196622 OWQ196622:OWR196622 PGM196622:PGN196622 PQI196622:PQJ196622 QAE196622:QAF196622 QKA196622:QKB196622 QTW196622:QTX196622 RDS196622:RDT196622 RNO196622:RNP196622 RXK196622:RXL196622 SHG196622:SHH196622 SRC196622:SRD196622 TAY196622:TAZ196622 TKU196622:TKV196622 TUQ196622:TUR196622 UEM196622:UEN196622 UOI196622:UOJ196622 UYE196622:UYF196622 VIA196622:VIB196622 VRW196622:VRX196622 WBS196622:WBT196622 WLO196622:WLP196622 WVK196622:WVL196622 C262160:D262160 IY262158:IZ262158 SU262158:SV262158 ACQ262158:ACR262158 AMM262158:AMN262158 AWI262158:AWJ262158 BGE262158:BGF262158 BQA262158:BQB262158 BZW262158:BZX262158 CJS262158:CJT262158 CTO262158:CTP262158 DDK262158:DDL262158 DNG262158:DNH262158 DXC262158:DXD262158 EGY262158:EGZ262158 EQU262158:EQV262158 FAQ262158:FAR262158 FKM262158:FKN262158 FUI262158:FUJ262158 GEE262158:GEF262158 GOA262158:GOB262158 GXW262158:GXX262158 HHS262158:HHT262158 HRO262158:HRP262158 IBK262158:IBL262158 ILG262158:ILH262158 IVC262158:IVD262158 JEY262158:JEZ262158 JOU262158:JOV262158 JYQ262158:JYR262158 KIM262158:KIN262158 KSI262158:KSJ262158 LCE262158:LCF262158 LMA262158:LMB262158 LVW262158:LVX262158 MFS262158:MFT262158 MPO262158:MPP262158 MZK262158:MZL262158 NJG262158:NJH262158 NTC262158:NTD262158 OCY262158:OCZ262158 OMU262158:OMV262158 OWQ262158:OWR262158 PGM262158:PGN262158 PQI262158:PQJ262158 QAE262158:QAF262158 QKA262158:QKB262158 QTW262158:QTX262158 RDS262158:RDT262158 RNO262158:RNP262158 RXK262158:RXL262158 SHG262158:SHH262158 SRC262158:SRD262158 TAY262158:TAZ262158 TKU262158:TKV262158 TUQ262158:TUR262158 UEM262158:UEN262158 UOI262158:UOJ262158 UYE262158:UYF262158 VIA262158:VIB262158 VRW262158:VRX262158 WBS262158:WBT262158 WLO262158:WLP262158 WVK262158:WVL262158 C327696:D327696 IY327694:IZ327694 SU327694:SV327694 ACQ327694:ACR327694 AMM327694:AMN327694 AWI327694:AWJ327694 BGE327694:BGF327694 BQA327694:BQB327694 BZW327694:BZX327694 CJS327694:CJT327694 CTO327694:CTP327694 DDK327694:DDL327694 DNG327694:DNH327694 DXC327694:DXD327694 EGY327694:EGZ327694 EQU327694:EQV327694 FAQ327694:FAR327694 FKM327694:FKN327694 FUI327694:FUJ327694 GEE327694:GEF327694 GOA327694:GOB327694 GXW327694:GXX327694 HHS327694:HHT327694 HRO327694:HRP327694 IBK327694:IBL327694 ILG327694:ILH327694 IVC327694:IVD327694 JEY327694:JEZ327694 JOU327694:JOV327694 JYQ327694:JYR327694 KIM327694:KIN327694 KSI327694:KSJ327694 LCE327694:LCF327694 LMA327694:LMB327694 LVW327694:LVX327694 MFS327694:MFT327694 MPO327694:MPP327694 MZK327694:MZL327694 NJG327694:NJH327694 NTC327694:NTD327694 OCY327694:OCZ327694 OMU327694:OMV327694 OWQ327694:OWR327694 PGM327694:PGN327694 PQI327694:PQJ327694 QAE327694:QAF327694 QKA327694:QKB327694 QTW327694:QTX327694 RDS327694:RDT327694 RNO327694:RNP327694 RXK327694:RXL327694 SHG327694:SHH327694 SRC327694:SRD327694 TAY327694:TAZ327694 TKU327694:TKV327694 TUQ327694:TUR327694 UEM327694:UEN327694 UOI327694:UOJ327694 UYE327694:UYF327694 VIA327694:VIB327694 VRW327694:VRX327694 WBS327694:WBT327694 WLO327694:WLP327694 WVK327694:WVL327694 C393232:D393232 IY393230:IZ393230 SU393230:SV393230 ACQ393230:ACR393230 AMM393230:AMN393230 AWI393230:AWJ393230 BGE393230:BGF393230 BQA393230:BQB393230 BZW393230:BZX393230 CJS393230:CJT393230 CTO393230:CTP393230 DDK393230:DDL393230 DNG393230:DNH393230 DXC393230:DXD393230 EGY393230:EGZ393230 EQU393230:EQV393230 FAQ393230:FAR393230 FKM393230:FKN393230 FUI393230:FUJ393230 GEE393230:GEF393230 GOA393230:GOB393230 GXW393230:GXX393230 HHS393230:HHT393230 HRO393230:HRP393230 IBK393230:IBL393230 ILG393230:ILH393230 IVC393230:IVD393230 JEY393230:JEZ393230 JOU393230:JOV393230 JYQ393230:JYR393230 KIM393230:KIN393230 KSI393230:KSJ393230 LCE393230:LCF393230 LMA393230:LMB393230 LVW393230:LVX393230 MFS393230:MFT393230 MPO393230:MPP393230 MZK393230:MZL393230 NJG393230:NJH393230 NTC393230:NTD393230 OCY393230:OCZ393230 OMU393230:OMV393230 OWQ393230:OWR393230 PGM393230:PGN393230 PQI393230:PQJ393230 QAE393230:QAF393230 QKA393230:QKB393230 QTW393230:QTX393230 RDS393230:RDT393230 RNO393230:RNP393230 RXK393230:RXL393230 SHG393230:SHH393230 SRC393230:SRD393230 TAY393230:TAZ393230 TKU393230:TKV393230 TUQ393230:TUR393230 UEM393230:UEN393230 UOI393230:UOJ393230 UYE393230:UYF393230 VIA393230:VIB393230 VRW393230:VRX393230 WBS393230:WBT393230 WLO393230:WLP393230 WVK393230:WVL393230 C458768:D458768 IY458766:IZ458766 SU458766:SV458766 ACQ458766:ACR458766 AMM458766:AMN458766 AWI458766:AWJ458766 BGE458766:BGF458766 BQA458766:BQB458766 BZW458766:BZX458766 CJS458766:CJT458766 CTO458766:CTP458766 DDK458766:DDL458766 DNG458766:DNH458766 DXC458766:DXD458766 EGY458766:EGZ458766 EQU458766:EQV458766 FAQ458766:FAR458766 FKM458766:FKN458766 FUI458766:FUJ458766 GEE458766:GEF458766 GOA458766:GOB458766 GXW458766:GXX458766 HHS458766:HHT458766 HRO458766:HRP458766 IBK458766:IBL458766 ILG458766:ILH458766 IVC458766:IVD458766 JEY458766:JEZ458766 JOU458766:JOV458766 JYQ458766:JYR458766 KIM458766:KIN458766 KSI458766:KSJ458766 LCE458766:LCF458766 LMA458766:LMB458766 LVW458766:LVX458766 MFS458766:MFT458766 MPO458766:MPP458766 MZK458766:MZL458766 NJG458766:NJH458766 NTC458766:NTD458766 OCY458766:OCZ458766 OMU458766:OMV458766 OWQ458766:OWR458766 PGM458766:PGN458766 PQI458766:PQJ458766 QAE458766:QAF458766 QKA458766:QKB458766 QTW458766:QTX458766 RDS458766:RDT458766 RNO458766:RNP458766 RXK458766:RXL458766 SHG458766:SHH458766 SRC458766:SRD458766 TAY458766:TAZ458766 TKU458766:TKV458766 TUQ458766:TUR458766 UEM458766:UEN458766 UOI458766:UOJ458766 UYE458766:UYF458766 VIA458766:VIB458766 VRW458766:VRX458766 WBS458766:WBT458766 WLO458766:WLP458766 WVK458766:WVL458766 C524304:D524304 IY524302:IZ524302 SU524302:SV524302 ACQ524302:ACR524302 AMM524302:AMN524302 AWI524302:AWJ524302 BGE524302:BGF524302 BQA524302:BQB524302 BZW524302:BZX524302 CJS524302:CJT524302 CTO524302:CTP524302 DDK524302:DDL524302 DNG524302:DNH524302 DXC524302:DXD524302 EGY524302:EGZ524302 EQU524302:EQV524302 FAQ524302:FAR524302 FKM524302:FKN524302 FUI524302:FUJ524302 GEE524302:GEF524302 GOA524302:GOB524302 GXW524302:GXX524302 HHS524302:HHT524302 HRO524302:HRP524302 IBK524302:IBL524302 ILG524302:ILH524302 IVC524302:IVD524302 JEY524302:JEZ524302 JOU524302:JOV524302 JYQ524302:JYR524302 KIM524302:KIN524302 KSI524302:KSJ524302 LCE524302:LCF524302 LMA524302:LMB524302 LVW524302:LVX524302 MFS524302:MFT524302 MPO524302:MPP524302 MZK524302:MZL524302 NJG524302:NJH524302 NTC524302:NTD524302 OCY524302:OCZ524302 OMU524302:OMV524302 OWQ524302:OWR524302 PGM524302:PGN524302 PQI524302:PQJ524302 QAE524302:QAF524302 QKA524302:QKB524302 QTW524302:QTX524302 RDS524302:RDT524302 RNO524302:RNP524302 RXK524302:RXL524302 SHG524302:SHH524302 SRC524302:SRD524302 TAY524302:TAZ524302 TKU524302:TKV524302 TUQ524302:TUR524302 UEM524302:UEN524302 UOI524302:UOJ524302 UYE524302:UYF524302 VIA524302:VIB524302 VRW524302:VRX524302 WBS524302:WBT524302 WLO524302:WLP524302 WVK524302:WVL524302 C589840:D589840 IY589838:IZ589838 SU589838:SV589838 ACQ589838:ACR589838 AMM589838:AMN589838 AWI589838:AWJ589838 BGE589838:BGF589838 BQA589838:BQB589838 BZW589838:BZX589838 CJS589838:CJT589838 CTO589838:CTP589838 DDK589838:DDL589838 DNG589838:DNH589838 DXC589838:DXD589838 EGY589838:EGZ589838 EQU589838:EQV589838 FAQ589838:FAR589838 FKM589838:FKN589838 FUI589838:FUJ589838 GEE589838:GEF589838 GOA589838:GOB589838 GXW589838:GXX589838 HHS589838:HHT589838 HRO589838:HRP589838 IBK589838:IBL589838 ILG589838:ILH589838 IVC589838:IVD589838 JEY589838:JEZ589838 JOU589838:JOV589838 JYQ589838:JYR589838 KIM589838:KIN589838 KSI589838:KSJ589838 LCE589838:LCF589838 LMA589838:LMB589838 LVW589838:LVX589838 MFS589838:MFT589838 MPO589838:MPP589838 MZK589838:MZL589838 NJG589838:NJH589838 NTC589838:NTD589838 OCY589838:OCZ589838 OMU589838:OMV589838 OWQ589838:OWR589838 PGM589838:PGN589838 PQI589838:PQJ589838 QAE589838:QAF589838 QKA589838:QKB589838 QTW589838:QTX589838 RDS589838:RDT589838 RNO589838:RNP589838 RXK589838:RXL589838 SHG589838:SHH589838 SRC589838:SRD589838 TAY589838:TAZ589838 TKU589838:TKV589838 TUQ589838:TUR589838 UEM589838:UEN589838 UOI589838:UOJ589838 UYE589838:UYF589838 VIA589838:VIB589838 VRW589838:VRX589838 WBS589838:WBT589838 WLO589838:WLP589838 WVK589838:WVL589838 C655376:D655376 IY655374:IZ655374 SU655374:SV655374 ACQ655374:ACR655374 AMM655374:AMN655374 AWI655374:AWJ655374 BGE655374:BGF655374 BQA655374:BQB655374 BZW655374:BZX655374 CJS655374:CJT655374 CTO655374:CTP655374 DDK655374:DDL655374 DNG655374:DNH655374 DXC655374:DXD655374 EGY655374:EGZ655374 EQU655374:EQV655374 FAQ655374:FAR655374 FKM655374:FKN655374 FUI655374:FUJ655374 GEE655374:GEF655374 GOA655374:GOB655374 GXW655374:GXX655374 HHS655374:HHT655374 HRO655374:HRP655374 IBK655374:IBL655374 ILG655374:ILH655374 IVC655374:IVD655374 JEY655374:JEZ655374 JOU655374:JOV655374 JYQ655374:JYR655374 KIM655374:KIN655374 KSI655374:KSJ655374 LCE655374:LCF655374 LMA655374:LMB655374 LVW655374:LVX655374 MFS655374:MFT655374 MPO655374:MPP655374 MZK655374:MZL655374 NJG655374:NJH655374 NTC655374:NTD655374 OCY655374:OCZ655374 OMU655374:OMV655374 OWQ655374:OWR655374 PGM655374:PGN655374 PQI655374:PQJ655374 QAE655374:QAF655374 QKA655374:QKB655374 QTW655374:QTX655374 RDS655374:RDT655374 RNO655374:RNP655374 RXK655374:RXL655374 SHG655374:SHH655374 SRC655374:SRD655374 TAY655374:TAZ655374 TKU655374:TKV655374 TUQ655374:TUR655374 UEM655374:UEN655374 UOI655374:UOJ655374 UYE655374:UYF655374 VIA655374:VIB655374 VRW655374:VRX655374 WBS655374:WBT655374 WLO655374:WLP655374 WVK655374:WVL655374 C720912:D720912 IY720910:IZ720910 SU720910:SV720910 ACQ720910:ACR720910 AMM720910:AMN720910 AWI720910:AWJ720910 BGE720910:BGF720910 BQA720910:BQB720910 BZW720910:BZX720910 CJS720910:CJT720910 CTO720910:CTP720910 DDK720910:DDL720910 DNG720910:DNH720910 DXC720910:DXD720910 EGY720910:EGZ720910 EQU720910:EQV720910 FAQ720910:FAR720910 FKM720910:FKN720910 FUI720910:FUJ720910 GEE720910:GEF720910 GOA720910:GOB720910 GXW720910:GXX720910 HHS720910:HHT720910 HRO720910:HRP720910 IBK720910:IBL720910 ILG720910:ILH720910 IVC720910:IVD720910 JEY720910:JEZ720910 JOU720910:JOV720910 JYQ720910:JYR720910 KIM720910:KIN720910 KSI720910:KSJ720910 LCE720910:LCF720910 LMA720910:LMB720910 LVW720910:LVX720910 MFS720910:MFT720910 MPO720910:MPP720910 MZK720910:MZL720910 NJG720910:NJH720910 NTC720910:NTD720910 OCY720910:OCZ720910 OMU720910:OMV720910 OWQ720910:OWR720910 PGM720910:PGN720910 PQI720910:PQJ720910 QAE720910:QAF720910 QKA720910:QKB720910 QTW720910:QTX720910 RDS720910:RDT720910 RNO720910:RNP720910 RXK720910:RXL720910 SHG720910:SHH720910 SRC720910:SRD720910 TAY720910:TAZ720910 TKU720910:TKV720910 TUQ720910:TUR720910 UEM720910:UEN720910 UOI720910:UOJ720910 UYE720910:UYF720910 VIA720910:VIB720910 VRW720910:VRX720910 WBS720910:WBT720910 WLO720910:WLP720910 WVK720910:WVL720910 C786448:D786448 IY786446:IZ786446 SU786446:SV786446 ACQ786446:ACR786446 AMM786446:AMN786446 AWI786446:AWJ786446 BGE786446:BGF786446 BQA786446:BQB786446 BZW786446:BZX786446 CJS786446:CJT786446 CTO786446:CTP786446 DDK786446:DDL786446 DNG786446:DNH786446 DXC786446:DXD786446 EGY786446:EGZ786446 EQU786446:EQV786446 FAQ786446:FAR786446 FKM786446:FKN786446 FUI786446:FUJ786446 GEE786446:GEF786446 GOA786446:GOB786446 GXW786446:GXX786446 HHS786446:HHT786446 HRO786446:HRP786446 IBK786446:IBL786446 ILG786446:ILH786446 IVC786446:IVD786446 JEY786446:JEZ786446 JOU786446:JOV786446 JYQ786446:JYR786446 KIM786446:KIN786446 KSI786446:KSJ786446 LCE786446:LCF786446 LMA786446:LMB786446 LVW786446:LVX786446 MFS786446:MFT786446 MPO786446:MPP786446 MZK786446:MZL786446 NJG786446:NJH786446 NTC786446:NTD786446 OCY786446:OCZ786446 OMU786446:OMV786446 OWQ786446:OWR786446 PGM786446:PGN786446 PQI786446:PQJ786446 QAE786446:QAF786446 QKA786446:QKB786446 QTW786446:QTX786446 RDS786446:RDT786446 RNO786446:RNP786446 RXK786446:RXL786446 SHG786446:SHH786446 SRC786446:SRD786446 TAY786446:TAZ786446 TKU786446:TKV786446 TUQ786446:TUR786446 UEM786446:UEN786446 UOI786446:UOJ786446 UYE786446:UYF786446 VIA786446:VIB786446 VRW786446:VRX786446 WBS786446:WBT786446 WLO786446:WLP786446 WVK786446:WVL786446 C851984:D851984 IY851982:IZ851982 SU851982:SV851982 ACQ851982:ACR851982 AMM851982:AMN851982 AWI851982:AWJ851982 BGE851982:BGF851982 BQA851982:BQB851982 BZW851982:BZX851982 CJS851982:CJT851982 CTO851982:CTP851982 DDK851982:DDL851982 DNG851982:DNH851982 DXC851982:DXD851982 EGY851982:EGZ851982 EQU851982:EQV851982 FAQ851982:FAR851982 FKM851982:FKN851982 FUI851982:FUJ851982 GEE851982:GEF851982 GOA851982:GOB851982 GXW851982:GXX851982 HHS851982:HHT851982 HRO851982:HRP851982 IBK851982:IBL851982 ILG851982:ILH851982 IVC851982:IVD851982 JEY851982:JEZ851982 JOU851982:JOV851982 JYQ851982:JYR851982 KIM851982:KIN851982 KSI851982:KSJ851982 LCE851982:LCF851982 LMA851982:LMB851982 LVW851982:LVX851982 MFS851982:MFT851982 MPO851982:MPP851982 MZK851982:MZL851982 NJG851982:NJH851982 NTC851982:NTD851982 OCY851982:OCZ851982 OMU851982:OMV851982 OWQ851982:OWR851982 PGM851982:PGN851982 PQI851982:PQJ851982 QAE851982:QAF851982 QKA851982:QKB851982 QTW851982:QTX851982 RDS851982:RDT851982 RNO851982:RNP851982 RXK851982:RXL851982 SHG851982:SHH851982 SRC851982:SRD851982 TAY851982:TAZ851982 TKU851982:TKV851982 TUQ851982:TUR851982 UEM851982:UEN851982 UOI851982:UOJ851982 UYE851982:UYF851982 VIA851982:VIB851982 VRW851982:VRX851982 WBS851982:WBT851982 WLO851982:WLP851982 WVK851982:WVL851982 C917520:D917520 IY917518:IZ917518 SU917518:SV917518 ACQ917518:ACR917518 AMM917518:AMN917518 AWI917518:AWJ917518 BGE917518:BGF917518 BQA917518:BQB917518 BZW917518:BZX917518 CJS917518:CJT917518 CTO917518:CTP917518 DDK917518:DDL917518 DNG917518:DNH917518 DXC917518:DXD917518 EGY917518:EGZ917518 EQU917518:EQV917518 FAQ917518:FAR917518 FKM917518:FKN917518 FUI917518:FUJ917518 GEE917518:GEF917518 GOA917518:GOB917518 GXW917518:GXX917518 HHS917518:HHT917518 HRO917518:HRP917518 IBK917518:IBL917518 ILG917518:ILH917518 IVC917518:IVD917518 JEY917518:JEZ917518 JOU917518:JOV917518 JYQ917518:JYR917518 KIM917518:KIN917518 KSI917518:KSJ917518 LCE917518:LCF917518 LMA917518:LMB917518 LVW917518:LVX917518 MFS917518:MFT917518 MPO917518:MPP917518 MZK917518:MZL917518 NJG917518:NJH917518 NTC917518:NTD917518 OCY917518:OCZ917518 OMU917518:OMV917518 OWQ917518:OWR917518 PGM917518:PGN917518 PQI917518:PQJ917518 QAE917518:QAF917518 QKA917518:QKB917518 QTW917518:QTX917518 RDS917518:RDT917518 RNO917518:RNP917518 RXK917518:RXL917518 SHG917518:SHH917518 SRC917518:SRD917518 TAY917518:TAZ917518 TKU917518:TKV917518 TUQ917518:TUR917518 UEM917518:UEN917518 UOI917518:UOJ917518 UYE917518:UYF917518 VIA917518:VIB917518 VRW917518:VRX917518 WBS917518:WBT917518 WLO917518:WLP917518 WVK917518:WVL917518 C983056:D983056 IY983054:IZ983054 SU983054:SV983054 ACQ983054:ACR983054 AMM983054:AMN983054 AWI983054:AWJ983054 BGE983054:BGF983054 BQA983054:BQB983054 BZW983054:BZX983054 CJS983054:CJT983054 CTO983054:CTP983054 DDK983054:DDL983054 DNG983054:DNH983054 DXC983054:DXD983054 EGY983054:EGZ983054 EQU983054:EQV983054 FAQ983054:FAR983054 FKM983054:FKN983054 FUI983054:FUJ983054 GEE983054:GEF983054 GOA983054:GOB983054 GXW983054:GXX983054 HHS983054:HHT983054 HRO983054:HRP983054 IBK983054:IBL983054 ILG983054:ILH983054 IVC983054:IVD983054 JEY983054:JEZ983054 JOU983054:JOV983054 JYQ983054:JYR983054 KIM983054:KIN983054 KSI983054:KSJ983054 LCE983054:LCF983054 LMA983054:LMB983054 LVW983054:LVX983054 MFS983054:MFT983054 MPO983054:MPP983054 MZK983054:MZL983054 NJG983054:NJH983054 NTC983054:NTD983054 OCY983054:OCZ983054 OMU983054:OMV983054 OWQ983054:OWR983054 PGM983054:PGN983054 PQI983054:PQJ983054 QAE983054:QAF983054 QKA983054:QKB983054 QTW983054:QTX983054 RDS983054:RDT983054 RNO983054:RNP983054 RXK983054:RXL983054 SHG983054:SHH983054 SRC983054:SRD983054 TAY983054:TAZ983054 TKU983054:TKV983054 TUQ983054:TUR983054 UEM983054:UEN983054 UOI983054:UOJ983054 UYE983054:UYF983054 VIA983054:VIB983054 VRW983054:VRX983054 WBS983054:WBT983054 WLO983054:WLP983054" xr:uid="{00000000-0002-0000-0000-000001000000}">
      <formula1>BrandValues</formula1>
    </dataValidation>
  </dataValidations>
  <pageMargins left="0.70866141732283472" right="0.70866141732283472" top="0.74803149606299213" bottom="0.74803149606299213" header="0.31496062992125984" footer="0.31496062992125984"/>
  <pageSetup paperSize="9" scale="89" orientation="portrait" r:id="rId1"/>
  <ignoredErrors>
    <ignoredError sqref="B42" 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7" operator="containsText" id="{40C6B44D-E34F-4A59-9F18-1DCE22FF66FE}">
            <xm:f>NOT(ISERROR(SEARCH($J$10,D37)))</xm:f>
            <xm:f>$J$10</xm:f>
            <x14:dxf>
              <fill>
                <patternFill>
                  <bgColor rgb="FFFFFF00"/>
                </patternFill>
              </fill>
            </x14:dxf>
          </x14:cfRule>
          <xm:sqref>D37:D43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G123"/>
  <sheetViews>
    <sheetView tabSelected="1" topLeftCell="A74" zoomScale="70" zoomScaleNormal="70" zoomScalePageLayoutView="85" workbookViewId="0">
      <selection activeCell="K103" sqref="K103"/>
    </sheetView>
  </sheetViews>
  <sheetFormatPr defaultColWidth="9.109375" defaultRowHeight="13.2" x14ac:dyDescent="0.25"/>
  <cols>
    <col min="1" max="1" width="10" style="91" customWidth="1"/>
    <col min="2" max="2" width="9.33203125" style="91" customWidth="1"/>
    <col min="3" max="3" width="3.5546875" style="91" customWidth="1"/>
    <col min="4" max="4" width="12.109375" style="91" customWidth="1"/>
    <col min="5" max="5" width="10" style="91" customWidth="1"/>
    <col min="6" max="6" width="10" style="873" customWidth="1"/>
    <col min="7" max="7" width="10.33203125" style="91" customWidth="1"/>
    <col min="8" max="8" width="7.6640625" style="91" customWidth="1"/>
    <col min="9" max="9" width="7.33203125" style="91" customWidth="1"/>
    <col min="10" max="10" width="13.33203125" style="91" customWidth="1"/>
    <col min="11" max="11" width="18.33203125" style="91" customWidth="1"/>
    <col min="12" max="12" width="7.88671875" style="91" customWidth="1"/>
    <col min="13" max="13" width="7.6640625" style="91" customWidth="1"/>
    <col min="14" max="14" width="8" style="91" customWidth="1"/>
    <col min="15" max="15" width="7.6640625" style="91" customWidth="1"/>
    <col min="16" max="16" width="8.33203125" style="91" customWidth="1"/>
    <col min="17" max="17" width="8.109375" style="91" customWidth="1"/>
    <col min="18" max="18" width="7.88671875" style="91" bestFit="1" customWidth="1"/>
    <col min="19" max="19" width="7.88671875" style="91" customWidth="1"/>
    <col min="20" max="20" width="8.5546875" style="91" customWidth="1"/>
    <col min="21" max="21" width="10.5546875" style="91" bestFit="1" customWidth="1"/>
    <col min="22" max="27" width="9.44140625" style="91" customWidth="1"/>
    <col min="28" max="28" width="8.109375" style="91" bestFit="1" customWidth="1"/>
    <col min="29" max="32" width="9.109375" style="91"/>
    <col min="33" max="33" width="13.44140625" style="91" bestFit="1" customWidth="1"/>
    <col min="34" max="34" width="10.44140625" style="91" bestFit="1" customWidth="1"/>
    <col min="35" max="35" width="7.88671875" style="91" bestFit="1" customWidth="1"/>
    <col min="36" max="36" width="18.88671875" style="91" bestFit="1" customWidth="1"/>
    <col min="37" max="37" width="6.109375" style="91" bestFit="1" customWidth="1"/>
    <col min="38" max="38" width="7.88671875" style="91" bestFit="1" customWidth="1"/>
    <col min="39" max="39" width="8.88671875" style="91" bestFit="1" customWidth="1"/>
    <col min="40" max="16384" width="9.109375" style="91"/>
  </cols>
  <sheetData>
    <row r="2" spans="2:45" ht="14.4" thickBot="1" x14ac:dyDescent="0.35">
      <c r="G2" s="202" t="s">
        <v>136</v>
      </c>
      <c r="L2" s="91" t="s">
        <v>0</v>
      </c>
    </row>
    <row r="3" spans="2:45" ht="18" thickBot="1" x14ac:dyDescent="0.35">
      <c r="B3" s="92" t="s">
        <v>43</v>
      </c>
      <c r="F3" s="874"/>
      <c r="G3" s="721" t="s">
        <v>261</v>
      </c>
      <c r="H3" s="722"/>
      <c r="I3" s="722"/>
      <c r="J3" s="723"/>
      <c r="U3" s="724" t="s">
        <v>71</v>
      </c>
      <c r="V3" s="725"/>
      <c r="W3" s="725"/>
      <c r="X3" s="725"/>
      <c r="Y3" s="725"/>
      <c r="Z3" s="726"/>
    </row>
    <row r="4" spans="2:45" ht="14.4" thickBot="1" x14ac:dyDescent="0.35">
      <c r="D4" s="727" t="s">
        <v>123</v>
      </c>
      <c r="E4" s="727"/>
      <c r="F4" s="875"/>
      <c r="G4" s="727" t="s">
        <v>123</v>
      </c>
      <c r="H4" s="727"/>
      <c r="I4" s="94"/>
      <c r="J4" s="93"/>
      <c r="K4" s="93"/>
      <c r="L4" s="255" t="s">
        <v>160</v>
      </c>
      <c r="M4" s="255" t="s">
        <v>161</v>
      </c>
      <c r="N4" s="93"/>
      <c r="O4" s="93"/>
      <c r="P4" s="93"/>
      <c r="Q4" s="95"/>
      <c r="R4" s="202"/>
      <c r="S4" s="202"/>
      <c r="U4" s="728" t="s">
        <v>124</v>
      </c>
      <c r="V4" s="729"/>
      <c r="W4" s="729"/>
      <c r="X4" s="729"/>
      <c r="Y4" s="729"/>
      <c r="Z4" s="730"/>
      <c r="AG4" s="96"/>
      <c r="AK4" s="93"/>
      <c r="AL4" s="707"/>
      <c r="AM4" s="707"/>
      <c r="AN4" s="700"/>
      <c r="AO4" s="700"/>
      <c r="AP4" s="700"/>
      <c r="AQ4" s="700"/>
      <c r="AR4" s="700"/>
      <c r="AS4" s="700"/>
    </row>
    <row r="5" spans="2:45" ht="15" customHeight="1" thickBot="1" x14ac:dyDescent="0.3">
      <c r="D5" s="98" t="s">
        <v>17</v>
      </c>
      <c r="E5" s="203" t="s">
        <v>262</v>
      </c>
      <c r="G5" s="99" t="s">
        <v>135</v>
      </c>
      <c r="H5" s="203">
        <v>9</v>
      </c>
      <c r="J5" s="99" t="s">
        <v>159</v>
      </c>
      <c r="K5" s="100"/>
      <c r="L5" s="466" t="s">
        <v>104</v>
      </c>
      <c r="M5" s="203" t="s">
        <v>70</v>
      </c>
      <c r="O5" s="99" t="s">
        <v>152</v>
      </c>
      <c r="P5" s="101"/>
      <c r="Q5" s="101"/>
      <c r="R5" s="259"/>
      <c r="S5" s="374" t="str" cm="1">
        <f t="array" ref="S5">IF(E5="CB &amp; HMD",INDEX('TD info'!C18:AB18,MATCH(1,('TD info'!$C$4:$AB$4=H5)*('TD info'!$C$5:$AB$5=M5),0)),"")&amp;
IF(E5="CHG",INDEX('TD info'!C49:AB49,MATCH(1,('TD info'!C35:AB35=H5)*('TD info'!C36:AB36=M5),0)),"")&amp;
IF(E5="GP",INDEX('TD info'!C80:K80,MATCH(1,('TD info'!C66:K66=H5)*('TD info'!C67:K67=M5),0)),"")&amp;
IF(E5="Slim",INDEX('TD info'!C107:F107,MATCH(1,('TD info'!C91:F91=H5)*('TD info'!C93:F93=M5),0)),"")&amp;
IF(E5="Cond",INDEX('TD info'!C140:G140,MATCH(1,('TD info'!C124:G124=H5)*('TD info'!C126:G126=M5),0)),"")</f>
        <v>88</v>
      </c>
      <c r="U5" s="731"/>
      <c r="V5" s="732"/>
      <c r="W5" s="732"/>
      <c r="X5" s="732"/>
      <c r="Y5" s="732"/>
      <c r="Z5" s="733"/>
      <c r="AE5" s="93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7"/>
      <c r="AQ5" s="97"/>
      <c r="AR5" s="97"/>
      <c r="AS5" s="97"/>
    </row>
    <row r="6" spans="2:45" ht="14.4" thickBot="1" x14ac:dyDescent="0.3">
      <c r="J6" s="93"/>
      <c r="K6" s="97"/>
      <c r="L6" s="243" t="s">
        <v>119</v>
      </c>
      <c r="M6" s="244" t="s">
        <v>154</v>
      </c>
      <c r="O6" s="93"/>
      <c r="P6" s="93"/>
      <c r="Q6" s="93"/>
      <c r="R6" s="255" t="s">
        <v>160</v>
      </c>
      <c r="S6" s="255" t="s">
        <v>161</v>
      </c>
      <c r="U6" s="201" t="s">
        <v>134</v>
      </c>
      <c r="V6" s="704"/>
      <c r="W6" s="705"/>
      <c r="X6" s="705"/>
      <c r="Y6" s="705"/>
      <c r="Z6" s="706"/>
      <c r="AG6" s="93"/>
      <c r="AM6" s="102"/>
      <c r="AN6" s="93"/>
      <c r="AO6" s="93"/>
      <c r="AP6" s="700"/>
      <c r="AQ6" s="700"/>
      <c r="AR6" s="700"/>
      <c r="AS6" s="700"/>
    </row>
    <row r="7" spans="2:45" ht="13.8" thickBot="1" x14ac:dyDescent="0.3">
      <c r="C7" s="103"/>
      <c r="D7" s="98" t="s">
        <v>18</v>
      </c>
      <c r="E7" s="204" t="s">
        <v>263</v>
      </c>
      <c r="F7" s="876"/>
      <c r="G7" s="105" t="s">
        <v>24</v>
      </c>
      <c r="H7" s="260" t="s">
        <v>264</v>
      </c>
      <c r="J7" s="99" t="s">
        <v>122</v>
      </c>
      <c r="K7" s="100"/>
      <c r="L7" s="467" t="str" cm="1">
        <f t="array" ref="L7">IF(E5="CB &amp; HMD",INDEX('TD info'!$C$9:$AB$9,MATCH(1,('TD info'!$C$4:$AB$4=H5)*('TD info'!$C$5:$AB$5=M5),0)),"")&amp;
IF(E5="CHG",INDEX('TD info'!C40:AB40,MATCH(1,('TD info'!C35:AB35=H5)*('TD info'!C36:AB36=M5),0)),"")&amp;
IF(E5="GP",INDEX('TD info'!C71:K71,MATCH(1,('TD info'!C66:K66=H5)*('TD info'!C67:K67=M5),0)),"")&amp;
IF(E5="Slim",INDEX('TD info'!C94:F94,MATCH(1,('TD info'!C91:F91=H5)*('TD info'!C93:F93=M5),0)),"")&amp;
IF(E5="Cond",INDEX('TD info'!C127:G127,MATCH(1,('TD info'!C124:G124=H5)*('TD info'!C126:G126=M5),0)),"")&amp;
IF(E5="Vent EU",INDEX('TD info'!C160:G160,MATCH(1,('TD info'!C157:G157=H5)*('TD info'!C159:G159=M5),0)),"")&amp;
IF(E5="Vent UK",INDEX('TD info'!H160:L160,MATCH(1,('TD info'!H157:L157=H5)*('TD info'!H159:L159=M5),0)),"")</f>
        <v>204</v>
      </c>
      <c r="M7" s="468" t="str" cm="1">
        <f t="array" ref="M7">IF(E5="CB &amp; HMD",INDEX('TD info'!C7:AB7,MATCH(1,('TD info'!$C$4:$AB$4=H5)*('TD info'!$C$5:$AB$5=M5),0)),"")&amp;
IF(E5="CHG",INDEX('TD info'!C38:AB38,MATCH(1,('TD info'!C35:AB35=H5)*('TD info'!C36:AB36=M5),0)),"")&amp;
IF(E5="GP",INDEX('TD info'!C69:K69,MATCH(1,('TD info'!C66:K66=H5)*('TD info'!C67:K67=M5),0)),"")&amp;
IF(E5="Slim",INDEX('TD info'!C96:F96,MATCH(1,('TD info'!C91:F91=H5)*('TD info'!C93:F93=M5),0)),"")&amp;
IF(E5="Cond",INDEX('TD info'!C129:G129,MATCH(1,('TD info'!C124:G124=H5)*('TD info'!C126:G126=M5),0)),"")&amp;
IF(E5="Vent EU",INDEX('TD info'!C162:G162,MATCH(1,('TD info'!C157:G157=H5)*('TD info'!C159:G159=M5),0)),"")&amp;
IF(E5="Vent UK",INDEX('TD info'!H162:L162,MATCH(1,('TD info'!H157:L157=H5)*('TD info'!H159:L159=M5),0)),"")</f>
        <v>110</v>
      </c>
      <c r="O7" s="99" t="s">
        <v>153</v>
      </c>
      <c r="P7" s="101"/>
      <c r="Q7" s="101"/>
      <c r="R7" s="209"/>
      <c r="S7" s="209" t="str" cm="1">
        <f t="array" ref="S7">IF(E5="CB &amp; HMD",INDEX('TD info'!C17:AB17,MATCH(1,('TD info'!$C$4:$AB$4=H5)*('TD info'!$C$5:$AB$5=M5),0)),"")&amp;
IF(E5="CHG",INDEX('TD info'!C48:AB48,MATCH(1,('TD info'!C35:AB35=H5)*('TD info'!C36:AB36=M5),0)),"")&amp;
IF(E5="GP",INDEX('TD info'!C79:K79,MATCH(1,('TD info'!C66:K66=H5)*('TD info'!C67:K67=M5),0)),"")&amp;
IF(E5="Slim",INDEX('TD info'!C106:F106,MATCH(1,('TD info'!C91:F91=H5)*('TD info'!C93:F93=M5),0)),"")&amp;
IF(E5="Cond",INDEX('TD info'!C140:G140,MATCH(1,('TD info'!C124:G124=H5)*('TD info'!C126:G126=M5),0)),"")</f>
        <v>B</v>
      </c>
      <c r="U7" s="201" t="s">
        <v>125</v>
      </c>
      <c r="V7" s="704"/>
      <c r="W7" s="705"/>
      <c r="X7" s="705"/>
      <c r="Y7" s="705"/>
      <c r="Z7" s="706"/>
      <c r="AE7" s="93"/>
      <c r="AF7" s="93"/>
      <c r="AG7" s="93"/>
      <c r="AH7" s="93"/>
      <c r="AI7" s="263"/>
      <c r="AJ7" s="104"/>
      <c r="AK7" s="104"/>
      <c r="AL7" s="104"/>
      <c r="AM7" s="102"/>
      <c r="AN7" s="93"/>
      <c r="AO7" s="93"/>
      <c r="AP7" s="93"/>
      <c r="AQ7" s="93"/>
      <c r="AR7" s="93"/>
      <c r="AS7" s="97"/>
    </row>
    <row r="8" spans="2:45" ht="13.8" thickBot="1" x14ac:dyDescent="0.3">
      <c r="L8" s="89"/>
      <c r="M8" s="111"/>
      <c r="O8" s="93"/>
      <c r="P8" s="93"/>
      <c r="Q8" s="93"/>
      <c r="R8" s="20"/>
      <c r="U8" s="201" t="s">
        <v>130</v>
      </c>
      <c r="V8" s="704"/>
      <c r="W8" s="705"/>
      <c r="X8" s="705"/>
      <c r="Y8" s="705"/>
      <c r="Z8" s="706"/>
      <c r="AH8" s="93"/>
      <c r="AN8" s="93"/>
      <c r="AO8" s="93"/>
    </row>
    <row r="9" spans="2:45" ht="14.4" thickBot="1" x14ac:dyDescent="0.35">
      <c r="C9" s="108"/>
      <c r="D9" s="109" t="s">
        <v>69</v>
      </c>
      <c r="E9" s="205" t="s">
        <v>265</v>
      </c>
      <c r="J9" s="106" t="s">
        <v>45</v>
      </c>
      <c r="K9" s="107"/>
      <c r="L9" s="208" t="str" cm="1">
        <f t="array" ref="L9">IF(E5="CB &amp; HMD",INDEX('TD info'!C14:AB14,MATCH(1,('TD info'!$C$4:$AB$4=H5)*('TD info'!$C$5:$AB$5=M5),0)),"")&amp;
IF(E5="CHG",INDEX('TD info'!C45:AB45,MATCH(1,('TD info'!C35:AB35=H5)*('TD info'!C36:AB36=M5),0)),"")&amp;
IF(E5="GP",INDEX('TD info'!C76:K76,MATCH(1,('TD info'!C66:K66=H5)*('TD info'!C67:K67=M5),0)),"")&amp;
IF(E5="Slim",INDEX('TD info'!C102:F102,MATCH(1,('TD info'!C91:F91=H5)*('TD info'!C93:F93=M5),0)),"")&amp;
IF(E5="Cond",INDEX('TD info'!C135:G135,MATCH(1,('TD info'!C124:G124=H5)*('TD info'!C126:G126=M5),0)),"")&amp;
IF(E5="Vent EU",INDEX('TD info'!C168:G168,MATCH(1,('TD info'!C157:G157=H5)*('TD info'!C159:G159=M5),0)),"")&amp;
IF(E5="Vent UK",INDEX('TD info'!H168:L168,MATCH(1,('TD info'!H157:L157=H5)*('TD info'!H159:L159=M5),0)),"")</f>
        <v>205</v>
      </c>
      <c r="M9" s="245" t="s">
        <v>5</v>
      </c>
      <c r="O9" s="99" t="s">
        <v>247</v>
      </c>
      <c r="P9" s="101"/>
      <c r="Q9" s="101"/>
      <c r="R9" s="209" t="str" cm="1">
        <f t="array" ref="R9">IF(E5="CB &amp; HMD",INDEX('TD info'!C21:AB21,MATCH(1,('TD info'!$C$4:$AB$4=H5)*('TD info'!$C$5:$AB$5=M5),0)),"")&amp;
IF(E5="CHG",INDEX('TD info'!C52:AB52,MATCH(1,('TD info'!C35:AB35=H5)*('TD info'!C36:AB36=M5),0)),"")&amp;
IF(E5="GP",INDEX('TD info'!C83:K83,MATCH(1,('TD info'!C66:K66=H5)*('TD info'!C67:K67=M5),0)),"")&amp;
IF(E5="Slim",INDEX('TD info'!C110:F110,MATCH(1,('TD info'!C91:F91=H5)*('TD info'!C93:F93=M5),0)),"")&amp;
IF(E5="Cond",INDEX('TD info'!C143:G143,MATCH(1,('TD info'!C124:G124=H5)*('TD info'!C126:G126=M5),0)),"")&amp;
IF(E5="Vent EU",INDEX('TD info'!C176:G176,MATCH(1,('TD info'!C157:G157=H5)*('TD info'!C159:G159=M5),0)),"")&amp;
IF(E5="Vent UK",INDEX('TD info'!H176:L176,MATCH(1,('TD info'!H157:L157=H5)*('TD info'!H159:L159=M5),0)),"")</f>
        <v>63</v>
      </c>
      <c r="S9" s="256" t="str" cm="1">
        <f t="array" ref="S9">IF(E5="CB &amp; HMD",INDEX('TD info'!C22:AB22,MATCH(1,('TD info'!$C$4:$AB$4=H5)*('TD info'!$C$5:$AB$5=M5),0)),"")&amp;
IF(E5="CHG",INDEX('TD info'!C53:AB53,MATCH(1,('TD info'!C35:AB35=H5)*('TD info'!C36:AB36=M5),0)),"")&amp;
IF(E5="GP",INDEX('TD info'!C84:K84,MATCH(1,('TD info'!C66:K66=H5)*('TD info'!C67:K67=M5),0)),"")&amp;
IF(E5="Slim",INDEX('TD info'!C111:F111,MATCH(1,('TD info'!C91:F91=H5)*('TD info'!C93:F93=M5),0)),"")&amp;
IF(E5="Cond",INDEX('TD info'!C144:G144,MATCH(1,('TD info'!C124:G124=H5)*('TD info'!C126:G126=M5),0)),"")&amp;
IF(E5="Vent EU",INDEX('TD info'!C177:G177,MATCH(1,('TD info'!C157:G157=H5)*('TD info'!C159:G159=M5),0)),"")&amp;
IF(E5="Vent UK",INDEX('TD info'!H177:L177,MATCH(1,('TD info'!H157:L157=H5)*('TD info'!H159:L159=M5),0)),"")</f>
        <v>B</v>
      </c>
      <c r="U9" s="201" t="s">
        <v>132</v>
      </c>
      <c r="V9" s="704"/>
      <c r="W9" s="705"/>
      <c r="X9" s="705"/>
      <c r="Y9" s="705"/>
      <c r="Z9" s="706"/>
      <c r="AE9" s="97"/>
      <c r="AF9" s="97"/>
      <c r="AG9" s="93"/>
      <c r="AH9" s="93"/>
      <c r="AN9" s="93"/>
      <c r="AO9" s="93"/>
    </row>
    <row r="10" spans="2:45" ht="13.8" thickBot="1" x14ac:dyDescent="0.3">
      <c r="C10" s="108"/>
      <c r="U10" s="201" t="s">
        <v>131</v>
      </c>
      <c r="V10" s="704"/>
      <c r="W10" s="705"/>
      <c r="X10" s="705"/>
      <c r="Y10" s="705"/>
      <c r="Z10" s="706"/>
      <c r="AE10" s="97"/>
      <c r="AF10" s="97"/>
      <c r="AG10" s="104"/>
      <c r="AH10" s="104"/>
      <c r="AI10" s="104"/>
      <c r="AJ10" s="104"/>
      <c r="AK10" s="104"/>
      <c r="AL10" s="104"/>
      <c r="AM10" s="104"/>
      <c r="AN10" s="93"/>
      <c r="AO10" s="93"/>
    </row>
    <row r="11" spans="2:45" ht="13.8" thickBot="1" x14ac:dyDescent="0.3">
      <c r="C11" s="108"/>
      <c r="G11" s="99" t="s">
        <v>20</v>
      </c>
      <c r="H11" s="734"/>
      <c r="I11" s="735"/>
      <c r="J11" s="735"/>
      <c r="K11" s="736"/>
      <c r="N11" s="99" t="s">
        <v>22</v>
      </c>
      <c r="O11" s="701"/>
      <c r="P11" s="702"/>
      <c r="Q11" s="702"/>
      <c r="R11" s="703"/>
      <c r="U11" s="201" t="s">
        <v>126</v>
      </c>
      <c r="V11" s="217"/>
      <c r="W11" s="218"/>
      <c r="X11" s="218"/>
      <c r="Y11" s="218"/>
      <c r="Z11" s="219"/>
      <c r="AE11" s="97"/>
      <c r="AF11" s="97"/>
      <c r="AG11" s="104"/>
      <c r="AH11" s="104"/>
      <c r="AI11" s="104"/>
      <c r="AJ11" s="104"/>
      <c r="AK11" s="104"/>
      <c r="AL11" s="104"/>
      <c r="AM11" s="104"/>
      <c r="AN11" s="93"/>
      <c r="AO11" s="93"/>
    </row>
    <row r="12" spans="2:45" ht="13.8" x14ac:dyDescent="0.25">
      <c r="C12" s="108"/>
      <c r="U12" s="201" t="s">
        <v>127</v>
      </c>
      <c r="V12" s="704"/>
      <c r="W12" s="705"/>
      <c r="X12" s="705"/>
      <c r="Y12" s="705"/>
      <c r="Z12" s="706"/>
      <c r="AG12" s="110"/>
    </row>
    <row r="13" spans="2:45" ht="13.8" x14ac:dyDescent="0.25">
      <c r="C13" s="108"/>
      <c r="U13" s="201" t="s">
        <v>128</v>
      </c>
      <c r="V13" s="217"/>
      <c r="W13" s="218"/>
      <c r="X13" s="218"/>
      <c r="Y13" s="218"/>
      <c r="Z13" s="219"/>
      <c r="AG13" s="110"/>
    </row>
    <row r="14" spans="2:45" ht="13.8" x14ac:dyDescent="0.25">
      <c r="C14" s="108"/>
      <c r="S14" s="91" t="s">
        <v>0</v>
      </c>
      <c r="U14" s="201" t="s">
        <v>129</v>
      </c>
      <c r="V14" s="217"/>
      <c r="W14" s="218"/>
      <c r="X14" s="218"/>
      <c r="Y14" s="218"/>
      <c r="Z14" s="219"/>
      <c r="AG14" s="110"/>
    </row>
    <row r="15" spans="2:45" ht="13.8" x14ac:dyDescent="0.25">
      <c r="C15" s="108"/>
      <c r="D15" s="206" t="s">
        <v>44</v>
      </c>
      <c r="U15" s="262" t="s">
        <v>137</v>
      </c>
      <c r="V15" s="704"/>
      <c r="W15" s="705"/>
      <c r="X15" s="705"/>
      <c r="Y15" s="705"/>
      <c r="Z15" s="706"/>
    </row>
    <row r="16" spans="2:45" ht="13.8" thickBot="1" x14ac:dyDescent="0.3">
      <c r="C16" s="108"/>
      <c r="D16" s="108"/>
      <c r="I16" s="111"/>
      <c r="U16" s="261" t="s">
        <v>133</v>
      </c>
      <c r="V16" s="737"/>
      <c r="W16" s="738"/>
      <c r="X16" s="738"/>
      <c r="Y16" s="738"/>
      <c r="Z16" s="739"/>
      <c r="AD16" s="91" t="s">
        <v>0</v>
      </c>
    </row>
    <row r="17" spans="1:241" ht="13.8" thickBot="1" x14ac:dyDescent="0.3">
      <c r="E17" s="717" t="s">
        <v>46</v>
      </c>
      <c r="F17" s="718"/>
      <c r="G17" s="720"/>
      <c r="H17" s="717" t="s">
        <v>47</v>
      </c>
      <c r="I17" s="718"/>
      <c r="J17" s="718"/>
      <c r="K17" s="718"/>
      <c r="L17" s="718"/>
      <c r="M17" s="718"/>
      <c r="N17" s="718"/>
      <c r="O17" s="718"/>
      <c r="P17" s="720"/>
    </row>
    <row r="18" spans="1:241" ht="13.8" thickBot="1" x14ac:dyDescent="0.3">
      <c r="C18" s="590"/>
      <c r="D18" s="631"/>
      <c r="E18" s="714" t="s">
        <v>48</v>
      </c>
      <c r="F18" s="715"/>
      <c r="G18" s="716"/>
      <c r="H18" s="714" t="s">
        <v>49</v>
      </c>
      <c r="I18" s="715"/>
      <c r="J18" s="715"/>
      <c r="K18" s="715"/>
      <c r="L18" s="716"/>
      <c r="M18" s="714" t="s">
        <v>50</v>
      </c>
      <c r="N18" s="715"/>
      <c r="O18" s="715"/>
      <c r="P18" s="716"/>
      <c r="Q18" s="257"/>
      <c r="R18" s="257"/>
      <c r="S18" s="257"/>
      <c r="T18" s="257"/>
      <c r="U18" s="257"/>
      <c r="V18" s="257"/>
      <c r="W18" s="257"/>
      <c r="X18" s="257"/>
      <c r="Y18" s="257"/>
      <c r="Z18" s="257"/>
      <c r="AA18" s="257"/>
      <c r="AB18" s="257"/>
      <c r="AC18" s="257"/>
      <c r="AD18" s="257"/>
      <c r="AE18" s="569"/>
    </row>
    <row r="19" spans="1:241" ht="12.75" customHeight="1" x14ac:dyDescent="0.25">
      <c r="B19" s="93"/>
      <c r="C19" s="591" t="s">
        <v>1</v>
      </c>
      <c r="D19" s="572" t="s">
        <v>51</v>
      </c>
      <c r="E19" s="116" t="s">
        <v>52</v>
      </c>
      <c r="F19" s="877" t="s">
        <v>53</v>
      </c>
      <c r="G19" s="118" t="s">
        <v>54</v>
      </c>
      <c r="H19" s="116" t="s">
        <v>55</v>
      </c>
      <c r="I19" s="119" t="s">
        <v>85</v>
      </c>
      <c r="J19" s="120" t="s">
        <v>7</v>
      </c>
      <c r="K19" s="117" t="s">
        <v>56</v>
      </c>
      <c r="L19" s="115" t="s">
        <v>57</v>
      </c>
      <c r="M19" s="116" t="s">
        <v>58</v>
      </c>
      <c r="N19" s="117" t="s">
        <v>7</v>
      </c>
      <c r="O19" s="117" t="s">
        <v>56</v>
      </c>
      <c r="P19" s="115" t="s">
        <v>57</v>
      </c>
      <c r="Q19" s="220" t="s">
        <v>29</v>
      </c>
      <c r="R19" s="254" t="s">
        <v>155</v>
      </c>
      <c r="S19" s="681" t="s">
        <v>158</v>
      </c>
      <c r="T19" s="681" t="s">
        <v>165</v>
      </c>
      <c r="U19" s="681" t="s">
        <v>166</v>
      </c>
      <c r="V19" s="679" t="s">
        <v>167</v>
      </c>
      <c r="W19" s="683" t="s">
        <v>168</v>
      </c>
      <c r="X19" s="684"/>
      <c r="Y19" s="684"/>
      <c r="Z19" s="684"/>
      <c r="AA19" s="684"/>
      <c r="AB19" s="684"/>
      <c r="AC19" s="684"/>
      <c r="AD19" s="684"/>
      <c r="AE19" s="685"/>
      <c r="AG19" s="93"/>
      <c r="AH19" s="93"/>
      <c r="AI19" s="93"/>
      <c r="AJ19" s="93"/>
      <c r="AK19" s="93"/>
      <c r="AL19" s="93"/>
      <c r="AM19" s="93"/>
      <c r="AN19" s="93"/>
      <c r="AO19" s="93"/>
      <c r="AP19" s="93"/>
      <c r="AQ19" s="93"/>
      <c r="AR19" s="93"/>
      <c r="AS19" s="93"/>
      <c r="AT19" s="93"/>
      <c r="AU19" s="93"/>
      <c r="AV19" s="93"/>
      <c r="AW19" s="93"/>
      <c r="AX19" s="93"/>
      <c r="AY19" s="93"/>
      <c r="AZ19" s="93"/>
      <c r="BA19" s="93"/>
      <c r="BB19" s="93"/>
      <c r="BC19" s="93"/>
      <c r="BD19" s="93"/>
      <c r="BE19" s="93"/>
      <c r="BF19" s="93"/>
      <c r="BG19" s="93"/>
      <c r="BH19" s="93"/>
      <c r="BI19" s="93"/>
      <c r="BJ19" s="93"/>
      <c r="BK19" s="93"/>
      <c r="BL19" s="93"/>
      <c r="BM19" s="93"/>
      <c r="BN19" s="93"/>
      <c r="BO19" s="93"/>
      <c r="BP19" s="93"/>
      <c r="BQ19" s="93"/>
      <c r="BR19" s="93"/>
      <c r="BS19" s="93"/>
      <c r="BT19" s="93"/>
      <c r="BU19" s="93"/>
      <c r="BV19" s="93"/>
      <c r="BW19" s="93"/>
      <c r="BX19" s="93"/>
      <c r="BY19" s="93"/>
      <c r="BZ19" s="93"/>
      <c r="CA19" s="93"/>
      <c r="CB19" s="93"/>
      <c r="CC19" s="93"/>
      <c r="CD19" s="93"/>
      <c r="CE19" s="93"/>
      <c r="CF19" s="93"/>
      <c r="CG19" s="93"/>
      <c r="CH19" s="93"/>
      <c r="CI19" s="93"/>
      <c r="CJ19" s="93"/>
      <c r="CK19" s="93"/>
      <c r="CL19" s="93"/>
      <c r="CM19" s="93"/>
      <c r="CN19" s="93"/>
      <c r="CO19" s="93"/>
      <c r="CP19" s="93"/>
      <c r="CQ19" s="93"/>
      <c r="CR19" s="93"/>
      <c r="CS19" s="93"/>
      <c r="CT19" s="93"/>
      <c r="CU19" s="93"/>
      <c r="CV19" s="93"/>
      <c r="CW19" s="93"/>
      <c r="CX19" s="93"/>
      <c r="CY19" s="93"/>
      <c r="CZ19" s="93"/>
      <c r="DA19" s="93"/>
      <c r="DB19" s="93"/>
      <c r="DC19" s="93"/>
      <c r="DD19" s="93"/>
      <c r="DE19" s="93"/>
      <c r="DF19" s="93"/>
      <c r="DG19" s="93"/>
      <c r="DH19" s="93"/>
      <c r="DI19" s="93"/>
      <c r="DJ19" s="93"/>
      <c r="DK19" s="93"/>
      <c r="DL19" s="93"/>
      <c r="DM19" s="93"/>
      <c r="DN19" s="93"/>
      <c r="DO19" s="93"/>
      <c r="DP19" s="93"/>
      <c r="DQ19" s="93"/>
      <c r="DR19" s="93"/>
      <c r="DS19" s="93"/>
      <c r="DT19" s="93"/>
      <c r="DU19" s="93"/>
      <c r="DV19" s="93"/>
      <c r="DW19" s="93"/>
      <c r="DX19" s="93"/>
      <c r="DY19" s="93"/>
      <c r="DZ19" s="93"/>
      <c r="EA19" s="93"/>
      <c r="EB19" s="93"/>
      <c r="EC19" s="93"/>
      <c r="ED19" s="93"/>
      <c r="EE19" s="93"/>
      <c r="EF19" s="93"/>
      <c r="EG19" s="93"/>
      <c r="EH19" s="93"/>
      <c r="EI19" s="93"/>
      <c r="EJ19" s="93"/>
      <c r="EK19" s="93"/>
      <c r="EL19" s="93"/>
      <c r="EM19" s="93"/>
      <c r="EN19" s="93"/>
      <c r="EO19" s="93"/>
      <c r="EP19" s="93"/>
      <c r="EQ19" s="93"/>
      <c r="ER19" s="93"/>
      <c r="ES19" s="93"/>
      <c r="ET19" s="93"/>
      <c r="EU19" s="93"/>
      <c r="EV19" s="93"/>
      <c r="EW19" s="93"/>
      <c r="EX19" s="93"/>
      <c r="EY19" s="93"/>
      <c r="EZ19" s="93"/>
      <c r="FA19" s="93"/>
      <c r="FB19" s="93"/>
      <c r="FC19" s="93"/>
      <c r="FD19" s="93"/>
      <c r="FE19" s="93"/>
      <c r="FF19" s="93"/>
      <c r="FG19" s="93"/>
      <c r="FH19" s="93"/>
      <c r="FI19" s="93"/>
      <c r="FJ19" s="93"/>
      <c r="FK19" s="93"/>
      <c r="FL19" s="93"/>
      <c r="FM19" s="93"/>
      <c r="FN19" s="93"/>
      <c r="FO19" s="93"/>
      <c r="FP19" s="93"/>
      <c r="FQ19" s="93"/>
      <c r="FR19" s="93"/>
      <c r="FS19" s="93"/>
      <c r="FT19" s="93"/>
      <c r="FU19" s="93"/>
      <c r="FV19" s="93"/>
      <c r="FW19" s="93"/>
      <c r="FX19" s="93"/>
      <c r="FY19" s="93"/>
      <c r="FZ19" s="93"/>
      <c r="GA19" s="93"/>
      <c r="GB19" s="93"/>
      <c r="GC19" s="93"/>
      <c r="GD19" s="93"/>
      <c r="GE19" s="93"/>
      <c r="GF19" s="93"/>
      <c r="GG19" s="93"/>
      <c r="GH19" s="93"/>
      <c r="GI19" s="93"/>
      <c r="GJ19" s="93"/>
      <c r="GK19" s="93"/>
      <c r="GL19" s="93"/>
      <c r="GM19" s="93"/>
      <c r="GN19" s="93"/>
      <c r="GO19" s="93"/>
      <c r="GP19" s="93"/>
      <c r="GQ19" s="93"/>
      <c r="GR19" s="93"/>
      <c r="GS19" s="93"/>
      <c r="GT19" s="93"/>
      <c r="GU19" s="93"/>
      <c r="GV19" s="93"/>
      <c r="GW19" s="93"/>
      <c r="GX19" s="93"/>
      <c r="GY19" s="93"/>
      <c r="GZ19" s="93"/>
      <c r="HA19" s="93"/>
      <c r="HB19" s="93"/>
      <c r="HC19" s="93"/>
      <c r="HD19" s="93"/>
      <c r="HE19" s="93"/>
      <c r="HF19" s="93"/>
      <c r="HG19" s="93"/>
      <c r="HH19" s="93"/>
      <c r="HI19" s="93"/>
      <c r="HJ19" s="93"/>
      <c r="HK19" s="93"/>
      <c r="HL19" s="93"/>
      <c r="HM19" s="93"/>
      <c r="HN19" s="93"/>
      <c r="HO19" s="93"/>
      <c r="HP19" s="93"/>
      <c r="HQ19" s="93"/>
      <c r="HR19" s="93"/>
      <c r="HS19" s="93"/>
      <c r="HT19" s="93"/>
      <c r="HU19" s="93"/>
      <c r="HV19" s="93"/>
      <c r="HW19" s="93"/>
      <c r="HX19" s="93"/>
      <c r="HY19" s="93"/>
      <c r="HZ19" s="93"/>
      <c r="IA19" s="93"/>
      <c r="IB19" s="93"/>
      <c r="IC19" s="93"/>
      <c r="ID19" s="93"/>
      <c r="IE19" s="93"/>
      <c r="IF19" s="93"/>
      <c r="IG19" s="93"/>
    </row>
    <row r="20" spans="1:241" x14ac:dyDescent="0.25">
      <c r="A20" s="93"/>
      <c r="C20" s="592"/>
      <c r="D20" s="632"/>
      <c r="E20" s="600" t="s">
        <v>3</v>
      </c>
      <c r="F20" s="878" t="s">
        <v>3</v>
      </c>
      <c r="G20" s="601" t="s">
        <v>2</v>
      </c>
      <c r="H20" s="600" t="s">
        <v>3</v>
      </c>
      <c r="I20" s="117" t="s">
        <v>2</v>
      </c>
      <c r="J20" s="598" t="s">
        <v>4</v>
      </c>
      <c r="K20" s="598" t="s">
        <v>5</v>
      </c>
      <c r="L20" s="601" t="s">
        <v>3</v>
      </c>
      <c r="M20" s="600" t="s">
        <v>2</v>
      </c>
      <c r="N20" s="598" t="s">
        <v>4</v>
      </c>
      <c r="O20" s="598" t="s">
        <v>5</v>
      </c>
      <c r="P20" s="601" t="s">
        <v>2</v>
      </c>
      <c r="Q20" s="221" t="s">
        <v>86</v>
      </c>
      <c r="R20" s="221" t="s">
        <v>156</v>
      </c>
      <c r="S20" s="699"/>
      <c r="T20" s="699"/>
      <c r="U20" s="699"/>
      <c r="V20" s="708"/>
      <c r="W20" s="709"/>
      <c r="X20" s="707"/>
      <c r="Y20" s="707"/>
      <c r="Z20" s="707"/>
      <c r="AA20" s="707"/>
      <c r="AB20" s="707"/>
      <c r="AC20" s="707"/>
      <c r="AD20" s="707"/>
      <c r="AE20" s="710"/>
    </row>
    <row r="21" spans="1:241" ht="15.75" customHeight="1" x14ac:dyDescent="0.25">
      <c r="B21" s="91" t="s">
        <v>268</v>
      </c>
      <c r="C21" s="593">
        <v>1</v>
      </c>
      <c r="D21" s="132">
        <v>46091</v>
      </c>
      <c r="E21" s="156">
        <v>620</v>
      </c>
      <c r="F21" s="879">
        <v>1092</v>
      </c>
      <c r="G21" s="158">
        <f>(+(F21-E21)/E21*100)</f>
        <v>76.129032258064512</v>
      </c>
      <c r="H21" s="156">
        <v>618</v>
      </c>
      <c r="I21" s="161">
        <f>(+(H21-E21)/E21*100)</f>
        <v>-0.32258064516129031</v>
      </c>
      <c r="J21" s="210">
        <v>0.34599999999999997</v>
      </c>
      <c r="K21" s="211">
        <v>59</v>
      </c>
      <c r="L21" s="608">
        <v>0</v>
      </c>
      <c r="M21" s="136">
        <v>0</v>
      </c>
      <c r="N21" s="164">
        <f>+J21*((60)*H$5*1000/((G21-I21)*E21))</f>
        <v>3.9417721518987339</v>
      </c>
      <c r="O21" s="167">
        <f>+K21*(60)*H$5*1000/((G21-I21)*E21)</f>
        <v>672.15189873417717</v>
      </c>
      <c r="P21" s="177">
        <f>+L21/(F21-H21)*100</f>
        <v>0</v>
      </c>
      <c r="Q21" s="223" t="s">
        <v>267</v>
      </c>
      <c r="R21" s="570" t="s">
        <v>268</v>
      </c>
      <c r="S21" s="570" t="s">
        <v>266</v>
      </c>
      <c r="T21" s="570" t="s">
        <v>268</v>
      </c>
      <c r="U21" s="570" t="s">
        <v>268</v>
      </c>
      <c r="V21" s="571" t="s">
        <v>268</v>
      </c>
      <c r="W21" s="667" t="s">
        <v>272</v>
      </c>
      <c r="X21" s="668"/>
      <c r="Y21" s="668"/>
      <c r="Z21" s="668"/>
      <c r="AA21" s="668"/>
      <c r="AB21" s="668"/>
      <c r="AC21" s="668"/>
      <c r="AD21" s="668"/>
      <c r="AE21" s="669"/>
      <c r="AF21" s="659"/>
    </row>
    <row r="22" spans="1:241" ht="15.75" customHeight="1" x14ac:dyDescent="0.25">
      <c r="B22" s="91" t="s">
        <v>268</v>
      </c>
      <c r="C22" s="593">
        <v>2</v>
      </c>
      <c r="D22" s="132">
        <v>46092</v>
      </c>
      <c r="E22" s="156">
        <v>1908</v>
      </c>
      <c r="F22" s="879">
        <v>3096</v>
      </c>
      <c r="G22" s="158">
        <f>IF(E22="","",(+(F22-E22)/E22*100))</f>
        <v>62.264150943396224</v>
      </c>
      <c r="H22" s="156">
        <v>1868</v>
      </c>
      <c r="I22" s="161">
        <f>IF(E22="","",(+(H22-E22)/E22*100))</f>
        <v>-2.0964360587002098</v>
      </c>
      <c r="J22" s="210">
        <v>0.47699999999999998</v>
      </c>
      <c r="K22" s="211">
        <v>74</v>
      </c>
      <c r="L22" s="608">
        <v>1198</v>
      </c>
      <c r="M22" s="136">
        <v>0</v>
      </c>
      <c r="N22" s="164">
        <f>IF(E22="","",(+J22*((60)*H$5*1000/((G22-I22)*E22))))</f>
        <v>2.0975570032573292</v>
      </c>
      <c r="O22" s="167">
        <f>IF(E22="","",(+K22*(60)*H$5*1000/((G22-I22)*E22)))</f>
        <v>325.4071661237785</v>
      </c>
      <c r="P22" s="177">
        <f>IF(E22="","",(+L22/(F22-H22)*100))</f>
        <v>97.557003257328986</v>
      </c>
      <c r="Q22" s="223" t="s">
        <v>267</v>
      </c>
      <c r="R22" s="570" t="s">
        <v>268</v>
      </c>
      <c r="S22" s="570" t="s">
        <v>269</v>
      </c>
      <c r="T22" s="570" t="s">
        <v>268</v>
      </c>
      <c r="U22" s="570" t="s">
        <v>268</v>
      </c>
      <c r="V22" s="572" t="s">
        <v>268</v>
      </c>
      <c r="W22" s="667" t="s">
        <v>272</v>
      </c>
      <c r="X22" s="668"/>
      <c r="Y22" s="668"/>
      <c r="Z22" s="668"/>
      <c r="AA22" s="668"/>
      <c r="AB22" s="668"/>
      <c r="AC22" s="668"/>
      <c r="AD22" s="668"/>
      <c r="AE22" s="669"/>
      <c r="AF22" s="659"/>
    </row>
    <row r="23" spans="1:241" ht="15.75" customHeight="1" x14ac:dyDescent="0.25">
      <c r="B23" s="91" t="s">
        <v>268</v>
      </c>
      <c r="C23" s="593">
        <v>3</v>
      </c>
      <c r="D23" s="132">
        <v>46092</v>
      </c>
      <c r="E23" s="156">
        <v>3080</v>
      </c>
      <c r="F23" s="879">
        <v>5002</v>
      </c>
      <c r="G23" s="158">
        <f>IF(E23="","",(+(F23-E23)/E23*100))</f>
        <v>62.402597402597401</v>
      </c>
      <c r="H23" s="156">
        <v>3018</v>
      </c>
      <c r="I23" s="161">
        <f>IF(E23="","",(+(H23-E23)/E23*100))</f>
        <v>-2.0129870129870131</v>
      </c>
      <c r="J23" s="210">
        <v>0.70399999999999996</v>
      </c>
      <c r="K23" s="211">
        <v>104</v>
      </c>
      <c r="L23" s="608">
        <v>1888</v>
      </c>
      <c r="M23" s="136">
        <v>0</v>
      </c>
      <c r="N23" s="164">
        <f>IF(E23="","",(+J23*((60)*H$5*1000/((G23-I23)*E23))))</f>
        <v>1.9161290322580644</v>
      </c>
      <c r="O23" s="167">
        <f>IF(E23="","",(+K23*(60)*H$5*1000/((G23-I23)*E23)))</f>
        <v>283.06451612903226</v>
      </c>
      <c r="P23" s="177">
        <f>IF(E23="","",(+L23/(F23-H23)*100))</f>
        <v>95.161290322580655</v>
      </c>
      <c r="Q23" s="223" t="s">
        <v>267</v>
      </c>
      <c r="R23" s="570" t="s">
        <v>268</v>
      </c>
      <c r="S23" s="570" t="s">
        <v>269</v>
      </c>
      <c r="T23" s="570" t="s">
        <v>268</v>
      </c>
      <c r="U23" s="570" t="s">
        <v>268</v>
      </c>
      <c r="V23" s="571" t="s">
        <v>268</v>
      </c>
      <c r="W23" s="667" t="s">
        <v>272</v>
      </c>
      <c r="X23" s="668"/>
      <c r="Y23" s="668"/>
      <c r="Z23" s="668"/>
      <c r="AA23" s="668"/>
      <c r="AB23" s="668"/>
      <c r="AC23" s="668"/>
      <c r="AD23" s="668"/>
      <c r="AE23" s="669"/>
      <c r="AF23" s="659"/>
    </row>
    <row r="24" spans="1:241" ht="15.75" customHeight="1" x14ac:dyDescent="0.25">
      <c r="B24" s="91" t="s">
        <v>268</v>
      </c>
      <c r="C24" s="593">
        <v>4</v>
      </c>
      <c r="D24" s="132">
        <v>46093</v>
      </c>
      <c r="E24" s="156">
        <v>4340</v>
      </c>
      <c r="F24" s="879">
        <v>6760</v>
      </c>
      <c r="G24" s="158">
        <f t="shared" ref="G24:G33" si="0">(+(F24-E24)/E24*100)</f>
        <v>55.76036866359447</v>
      </c>
      <c r="H24" s="156">
        <v>4335</v>
      </c>
      <c r="I24" s="161">
        <f t="shared" ref="I24:I33" si="1">(+(H24-E24)/E24*100)</f>
        <v>-0.1152073732718894</v>
      </c>
      <c r="J24" s="210">
        <v>0.74399999999999999</v>
      </c>
      <c r="K24" s="211">
        <v>102</v>
      </c>
      <c r="L24" s="608">
        <v>2288</v>
      </c>
      <c r="M24" s="136">
        <v>0</v>
      </c>
      <c r="N24" s="164">
        <f t="shared" ref="N24:N33" si="2">+J24*((60)*H$5*1000/((G24-I24)*E24))</f>
        <v>1.6567422680412371</v>
      </c>
      <c r="O24" s="167">
        <f t="shared" ref="O24:O33" si="3">+K24*(60)*H$5*1000/((G24-I24)*E24)</f>
        <v>227.13402061855672</v>
      </c>
      <c r="P24" s="177">
        <f t="shared" ref="P24:P33" si="4">+L24/(F24-H24)*100</f>
        <v>94.350515463917532</v>
      </c>
      <c r="Q24" s="223" t="s">
        <v>267</v>
      </c>
      <c r="R24" s="570">
        <v>15.25</v>
      </c>
      <c r="S24" s="570" t="s">
        <v>269</v>
      </c>
      <c r="T24" s="570" t="s">
        <v>268</v>
      </c>
      <c r="U24" s="570" t="s">
        <v>268</v>
      </c>
      <c r="V24" s="572" t="s">
        <v>268</v>
      </c>
      <c r="W24" s="667" t="s">
        <v>272</v>
      </c>
      <c r="X24" s="668"/>
      <c r="Y24" s="668"/>
      <c r="Z24" s="668"/>
      <c r="AA24" s="668"/>
      <c r="AB24" s="668"/>
      <c r="AC24" s="668"/>
      <c r="AD24" s="668"/>
      <c r="AE24" s="669"/>
      <c r="AF24" s="659"/>
    </row>
    <row r="25" spans="1:241" ht="15.75" customHeight="1" x14ac:dyDescent="0.25">
      <c r="B25" s="91" t="s">
        <v>268</v>
      </c>
      <c r="C25" s="593">
        <v>5</v>
      </c>
      <c r="D25" s="132">
        <v>46093</v>
      </c>
      <c r="E25" s="156">
        <v>5680</v>
      </c>
      <c r="F25" s="879">
        <v>8780</v>
      </c>
      <c r="G25" s="158">
        <f t="shared" si="0"/>
        <v>54.577464788732399</v>
      </c>
      <c r="H25" s="156">
        <v>5715</v>
      </c>
      <c r="I25" s="161">
        <f t="shared" si="1"/>
        <v>0.61619718309859151</v>
      </c>
      <c r="J25" s="210">
        <v>0.89800000000000002</v>
      </c>
      <c r="K25" s="211">
        <v>118</v>
      </c>
      <c r="L25" s="608">
        <v>2854</v>
      </c>
      <c r="M25" s="136">
        <v>0</v>
      </c>
      <c r="N25" s="164">
        <f t="shared" si="2"/>
        <v>1.582120717781403</v>
      </c>
      <c r="O25" s="167">
        <f t="shared" si="3"/>
        <v>207.89559543230015</v>
      </c>
      <c r="P25" s="177">
        <f t="shared" si="4"/>
        <v>93.115823817292011</v>
      </c>
      <c r="Q25" s="223" t="s">
        <v>267</v>
      </c>
      <c r="R25" s="570" t="s">
        <v>268</v>
      </c>
      <c r="S25" s="570" t="s">
        <v>269</v>
      </c>
      <c r="T25" s="570" t="s">
        <v>268</v>
      </c>
      <c r="U25" s="570" t="s">
        <v>268</v>
      </c>
      <c r="V25" s="572" t="s">
        <v>268</v>
      </c>
      <c r="W25" s="667" t="s">
        <v>272</v>
      </c>
      <c r="X25" s="668"/>
      <c r="Y25" s="668"/>
      <c r="Z25" s="668"/>
      <c r="AA25" s="668"/>
      <c r="AB25" s="668"/>
      <c r="AC25" s="668"/>
      <c r="AD25" s="668"/>
      <c r="AE25" s="669"/>
      <c r="AF25" s="659"/>
    </row>
    <row r="26" spans="1:241" ht="15.6" x14ac:dyDescent="0.25">
      <c r="B26" s="91" t="s">
        <v>268</v>
      </c>
      <c r="C26" s="594">
        <v>6</v>
      </c>
      <c r="D26" s="633">
        <v>46094</v>
      </c>
      <c r="E26" s="577">
        <v>6870</v>
      </c>
      <c r="F26" s="879">
        <v>11006</v>
      </c>
      <c r="G26" s="628">
        <f t="shared" si="0"/>
        <v>60.203784570596795</v>
      </c>
      <c r="H26" s="577">
        <v>8106</v>
      </c>
      <c r="I26" s="578">
        <f t="shared" si="1"/>
        <v>17.991266375545852</v>
      </c>
      <c r="J26" s="579">
        <v>0.89800000000000002</v>
      </c>
      <c r="K26" s="580">
        <v>118</v>
      </c>
      <c r="L26" s="609">
        <v>2854</v>
      </c>
      <c r="M26" s="581">
        <v>0</v>
      </c>
      <c r="N26" s="582">
        <f t="shared" si="2"/>
        <v>1.6721379310344828</v>
      </c>
      <c r="O26" s="583">
        <f t="shared" si="3"/>
        <v>219.72413793103448</v>
      </c>
      <c r="P26" s="584">
        <f t="shared" si="4"/>
        <v>98.41379310344827</v>
      </c>
      <c r="Q26" s="617" t="s">
        <v>267</v>
      </c>
      <c r="R26" s="585" t="s">
        <v>268</v>
      </c>
      <c r="S26" s="585" t="s">
        <v>269</v>
      </c>
      <c r="T26" s="585" t="s">
        <v>268</v>
      </c>
      <c r="U26" s="585" t="s">
        <v>268</v>
      </c>
      <c r="V26" s="586" t="s">
        <v>268</v>
      </c>
      <c r="W26" s="670" t="s">
        <v>271</v>
      </c>
      <c r="X26" s="671"/>
      <c r="Y26" s="671"/>
      <c r="Z26" s="671"/>
      <c r="AA26" s="671"/>
      <c r="AB26" s="671"/>
      <c r="AC26" s="671"/>
      <c r="AD26" s="671"/>
      <c r="AE26" s="672"/>
      <c r="AF26" s="659"/>
    </row>
    <row r="27" spans="1:241" ht="15.75" customHeight="1" x14ac:dyDescent="0.25">
      <c r="B27" s="91" t="s">
        <v>268</v>
      </c>
      <c r="C27" s="593">
        <v>7</v>
      </c>
      <c r="D27" s="132">
        <v>46098</v>
      </c>
      <c r="E27" s="156">
        <v>8135</v>
      </c>
      <c r="F27" s="879">
        <v>13005</v>
      </c>
      <c r="G27" s="158">
        <f t="shared" si="0"/>
        <v>59.864781807006764</v>
      </c>
      <c r="H27" s="156">
        <v>8034</v>
      </c>
      <c r="I27" s="161">
        <f t="shared" si="1"/>
        <v>-1.2415488629379225</v>
      </c>
      <c r="J27" s="210">
        <v>1.615</v>
      </c>
      <c r="K27" s="211">
        <v>203</v>
      </c>
      <c r="L27" s="608">
        <v>4558</v>
      </c>
      <c r="M27" s="136">
        <v>0</v>
      </c>
      <c r="N27" s="164">
        <f t="shared" si="2"/>
        <v>1.7543753771876884</v>
      </c>
      <c r="O27" s="167">
        <f t="shared" si="3"/>
        <v>220.51901025950511</v>
      </c>
      <c r="P27" s="177">
        <f t="shared" si="4"/>
        <v>91.691812512572923</v>
      </c>
      <c r="Q27" s="618" t="s">
        <v>267</v>
      </c>
      <c r="R27" s="573" t="s">
        <v>268</v>
      </c>
      <c r="S27" s="573" t="s">
        <v>269</v>
      </c>
      <c r="T27" s="573" t="s">
        <v>268</v>
      </c>
      <c r="U27" s="573" t="s">
        <v>268</v>
      </c>
      <c r="V27" s="574" t="s">
        <v>268</v>
      </c>
      <c r="W27" s="667" t="s">
        <v>270</v>
      </c>
      <c r="X27" s="668"/>
      <c r="Y27" s="668"/>
      <c r="Z27" s="668"/>
      <c r="AA27" s="668"/>
      <c r="AB27" s="668"/>
      <c r="AC27" s="668"/>
      <c r="AD27" s="668"/>
      <c r="AE27" s="669"/>
      <c r="AF27" s="659"/>
    </row>
    <row r="28" spans="1:241" ht="15.6" x14ac:dyDescent="0.25">
      <c r="B28" s="91" t="s">
        <v>268</v>
      </c>
      <c r="C28" s="593">
        <v>8</v>
      </c>
      <c r="D28" s="132">
        <v>46104</v>
      </c>
      <c r="E28" s="156">
        <v>9020</v>
      </c>
      <c r="F28" s="879">
        <v>13825</v>
      </c>
      <c r="G28" s="158">
        <f t="shared" si="0"/>
        <v>53.270509977827054</v>
      </c>
      <c r="H28" s="156">
        <v>8880</v>
      </c>
      <c r="I28" s="161">
        <f t="shared" si="1"/>
        <v>-1.5521064301552108</v>
      </c>
      <c r="J28" s="210">
        <v>1.617</v>
      </c>
      <c r="K28" s="211">
        <v>204</v>
      </c>
      <c r="L28" s="608">
        <v>4540</v>
      </c>
      <c r="M28" s="136">
        <v>0</v>
      </c>
      <c r="N28" s="164">
        <f t="shared" si="2"/>
        <v>1.7657836198179979</v>
      </c>
      <c r="O28" s="167">
        <f t="shared" si="3"/>
        <v>222.77047522750252</v>
      </c>
      <c r="P28" s="177">
        <f t="shared" si="4"/>
        <v>91.809908998988874</v>
      </c>
      <c r="Q28" s="618" t="s">
        <v>267</v>
      </c>
      <c r="R28" s="573" t="s">
        <v>268</v>
      </c>
      <c r="S28" s="573" t="s">
        <v>269</v>
      </c>
      <c r="T28" s="573" t="s">
        <v>268</v>
      </c>
      <c r="U28" s="573" t="s">
        <v>268</v>
      </c>
      <c r="V28" s="574" t="s">
        <v>268</v>
      </c>
      <c r="W28" s="667" t="s">
        <v>273</v>
      </c>
      <c r="X28" s="668"/>
      <c r="Y28" s="668"/>
      <c r="Z28" s="668"/>
      <c r="AA28" s="668"/>
      <c r="AB28" s="668"/>
      <c r="AC28" s="668"/>
      <c r="AD28" s="668"/>
      <c r="AE28" s="669"/>
      <c r="AF28" s="659"/>
    </row>
    <row r="29" spans="1:241" ht="15.6" x14ac:dyDescent="0.25">
      <c r="B29" s="91" t="s">
        <v>268</v>
      </c>
      <c r="C29" s="593">
        <v>9</v>
      </c>
      <c r="D29" s="132">
        <v>46105</v>
      </c>
      <c r="E29" s="156">
        <v>1248</v>
      </c>
      <c r="F29" s="879">
        <v>2000</v>
      </c>
      <c r="G29" s="158">
        <f t="shared" si="0"/>
        <v>60.256410256410255</v>
      </c>
      <c r="H29" s="156">
        <v>1240</v>
      </c>
      <c r="I29" s="161">
        <f t="shared" si="1"/>
        <v>-0.64102564102564097</v>
      </c>
      <c r="J29" s="210">
        <v>0.38200000000000001</v>
      </c>
      <c r="K29" s="211">
        <v>61</v>
      </c>
      <c r="L29" s="608">
        <v>826</v>
      </c>
      <c r="M29" s="136">
        <v>0</v>
      </c>
      <c r="N29" s="164">
        <f t="shared" si="2"/>
        <v>2.7142105263157896</v>
      </c>
      <c r="O29" s="167">
        <f t="shared" si="3"/>
        <v>433.42105263157896</v>
      </c>
      <c r="P29" s="177">
        <f t="shared" si="4"/>
        <v>108.68421052631578</v>
      </c>
      <c r="Q29" s="618" t="s">
        <v>267</v>
      </c>
      <c r="R29" s="573" t="s">
        <v>268</v>
      </c>
      <c r="S29" s="573" t="s">
        <v>269</v>
      </c>
      <c r="T29" s="573" t="s">
        <v>268</v>
      </c>
      <c r="U29" s="573" t="s">
        <v>268</v>
      </c>
      <c r="V29" s="574" t="s">
        <v>268</v>
      </c>
      <c r="W29" s="667" t="s">
        <v>274</v>
      </c>
      <c r="X29" s="668"/>
      <c r="Y29" s="668"/>
      <c r="Z29" s="668"/>
      <c r="AA29" s="668"/>
      <c r="AB29" s="668"/>
      <c r="AC29" s="668"/>
      <c r="AD29" s="668"/>
      <c r="AE29" s="669"/>
      <c r="AF29" s="659"/>
    </row>
    <row r="30" spans="1:241" ht="15.6" x14ac:dyDescent="0.25">
      <c r="B30" s="91" t="s">
        <v>268</v>
      </c>
      <c r="C30" s="593">
        <v>10</v>
      </c>
      <c r="D30" s="132">
        <v>46105</v>
      </c>
      <c r="E30" s="156">
        <v>2494</v>
      </c>
      <c r="F30" s="879">
        <v>4012</v>
      </c>
      <c r="G30" s="158">
        <f t="shared" si="0"/>
        <v>60.866078588612673</v>
      </c>
      <c r="H30" s="156">
        <v>2478</v>
      </c>
      <c r="I30" s="161">
        <f t="shared" si="1"/>
        <v>-0.64153969526864474</v>
      </c>
      <c r="J30" s="210">
        <v>0.61899999999999999</v>
      </c>
      <c r="K30" s="211">
        <v>92</v>
      </c>
      <c r="L30" s="608">
        <v>1448</v>
      </c>
      <c r="M30" s="136">
        <v>0</v>
      </c>
      <c r="N30" s="164">
        <f t="shared" si="2"/>
        <v>2.1790091264667533</v>
      </c>
      <c r="O30" s="167">
        <f t="shared" si="3"/>
        <v>323.85919165580174</v>
      </c>
      <c r="P30" s="177">
        <f t="shared" si="4"/>
        <v>94.393741851368972</v>
      </c>
      <c r="Q30" s="618" t="s">
        <v>267</v>
      </c>
      <c r="R30" s="573" t="s">
        <v>268</v>
      </c>
      <c r="S30" s="573" t="s">
        <v>269</v>
      </c>
      <c r="T30" s="573" t="s">
        <v>268</v>
      </c>
      <c r="U30" s="573" t="s">
        <v>268</v>
      </c>
      <c r="V30" s="574" t="s">
        <v>268</v>
      </c>
      <c r="W30" s="667" t="s">
        <v>275</v>
      </c>
      <c r="X30" s="668"/>
      <c r="Y30" s="668"/>
      <c r="Z30" s="668"/>
      <c r="AA30" s="668"/>
      <c r="AB30" s="668"/>
      <c r="AC30" s="668"/>
      <c r="AD30" s="668"/>
      <c r="AE30" s="669"/>
      <c r="AF30" s="659"/>
    </row>
    <row r="31" spans="1:241" ht="15.6" x14ac:dyDescent="0.25">
      <c r="B31" s="91" t="s">
        <v>268</v>
      </c>
      <c r="C31" s="593">
        <v>11</v>
      </c>
      <c r="D31" s="132">
        <v>46120</v>
      </c>
      <c r="E31" s="156">
        <v>3765</v>
      </c>
      <c r="F31" s="879">
        <v>6000</v>
      </c>
      <c r="G31" s="158">
        <f t="shared" si="0"/>
        <v>59.362549800796813</v>
      </c>
      <c r="H31" s="156">
        <v>3848</v>
      </c>
      <c r="I31" s="161">
        <f t="shared" si="1"/>
        <v>2.2045152722443557</v>
      </c>
      <c r="J31" s="210">
        <v>0.76319999999999999</v>
      </c>
      <c r="K31" s="211">
        <v>117</v>
      </c>
      <c r="L31" s="608">
        <v>1728</v>
      </c>
      <c r="M31" s="136">
        <v>0</v>
      </c>
      <c r="N31" s="164">
        <f t="shared" si="2"/>
        <v>1.9150929368029741</v>
      </c>
      <c r="O31" s="167">
        <f t="shared" si="3"/>
        <v>293.58736059479554</v>
      </c>
      <c r="P31" s="177">
        <f t="shared" si="4"/>
        <v>80.297397769516735</v>
      </c>
      <c r="Q31" s="618" t="s">
        <v>267</v>
      </c>
      <c r="R31" s="573" t="s">
        <v>268</v>
      </c>
      <c r="S31" s="573" t="s">
        <v>269</v>
      </c>
      <c r="T31" s="573" t="s">
        <v>268</v>
      </c>
      <c r="U31" s="573" t="s">
        <v>268</v>
      </c>
      <c r="V31" s="574" t="s">
        <v>268</v>
      </c>
      <c r="W31" s="667" t="s">
        <v>290</v>
      </c>
      <c r="X31" s="668"/>
      <c r="Y31" s="668"/>
      <c r="Z31" s="668"/>
      <c r="AA31" s="668"/>
      <c r="AB31" s="668"/>
      <c r="AC31" s="668"/>
      <c r="AD31" s="668"/>
      <c r="AE31" s="669"/>
      <c r="AF31" s="659"/>
    </row>
    <row r="32" spans="1:241" ht="15.6" x14ac:dyDescent="0.25">
      <c r="B32" s="91" t="s">
        <v>268</v>
      </c>
      <c r="C32" s="593">
        <v>12</v>
      </c>
      <c r="D32" s="132">
        <v>46106</v>
      </c>
      <c r="E32" s="156">
        <v>5035</v>
      </c>
      <c r="F32" s="879">
        <v>8026</v>
      </c>
      <c r="G32" s="158">
        <f t="shared" si="0"/>
        <v>59.404170804369414</v>
      </c>
      <c r="H32" s="156">
        <v>5014</v>
      </c>
      <c r="I32" s="161">
        <f t="shared" si="1"/>
        <v>-0.41708043694141012</v>
      </c>
      <c r="J32" s="210">
        <v>1.655</v>
      </c>
      <c r="K32" s="211">
        <v>144</v>
      </c>
      <c r="L32" s="608">
        <v>2938</v>
      </c>
      <c r="M32" s="136">
        <v>0</v>
      </c>
      <c r="N32" s="164">
        <f t="shared" si="2"/>
        <v>2.9671314741035855</v>
      </c>
      <c r="O32" s="167">
        <f t="shared" si="3"/>
        <v>258.16733067729086</v>
      </c>
      <c r="P32" s="177">
        <f t="shared" si="4"/>
        <v>97.543160690571057</v>
      </c>
      <c r="Q32" s="223" t="s">
        <v>267</v>
      </c>
      <c r="R32" s="570" t="s">
        <v>268</v>
      </c>
      <c r="S32" s="570" t="s">
        <v>269</v>
      </c>
      <c r="T32" s="570" t="s">
        <v>268</v>
      </c>
      <c r="U32" s="570" t="s">
        <v>268</v>
      </c>
      <c r="V32" s="572" t="s">
        <v>268</v>
      </c>
      <c r="W32" s="667" t="s">
        <v>276</v>
      </c>
      <c r="X32" s="668"/>
      <c r="Y32" s="668"/>
      <c r="Z32" s="668"/>
      <c r="AA32" s="668"/>
      <c r="AB32" s="668"/>
      <c r="AC32" s="668"/>
      <c r="AD32" s="668"/>
      <c r="AE32" s="669"/>
      <c r="AF32" s="659"/>
    </row>
    <row r="33" spans="2:32" ht="15.6" x14ac:dyDescent="0.25">
      <c r="B33" s="91" t="s">
        <v>268</v>
      </c>
      <c r="C33" s="593">
        <v>13</v>
      </c>
      <c r="D33" s="132">
        <v>46106</v>
      </c>
      <c r="E33" s="156">
        <v>6278</v>
      </c>
      <c r="F33" s="879">
        <v>10002</v>
      </c>
      <c r="G33" s="158">
        <f t="shared" si="0"/>
        <v>59.318254221089518</v>
      </c>
      <c r="H33" s="156">
        <v>6346</v>
      </c>
      <c r="I33" s="161">
        <f t="shared" si="1"/>
        <v>1.0831474992035679</v>
      </c>
      <c r="J33" s="210">
        <v>1.2190000000000001</v>
      </c>
      <c r="K33" s="211">
        <v>159</v>
      </c>
      <c r="L33" s="608">
        <v>3376</v>
      </c>
      <c r="M33" s="136">
        <v>0</v>
      </c>
      <c r="N33" s="164">
        <f t="shared" si="2"/>
        <v>1.800492341356674</v>
      </c>
      <c r="O33" s="167">
        <f t="shared" si="3"/>
        <v>234.84682713347922</v>
      </c>
      <c r="P33" s="177">
        <f t="shared" si="4"/>
        <v>92.341356673960618</v>
      </c>
      <c r="Q33" s="223" t="s">
        <v>267</v>
      </c>
      <c r="R33" s="570" t="s">
        <v>268</v>
      </c>
      <c r="S33" s="570" t="s">
        <v>269</v>
      </c>
      <c r="T33" s="570" t="s">
        <v>268</v>
      </c>
      <c r="U33" s="570" t="s">
        <v>268</v>
      </c>
      <c r="V33" s="572" t="s">
        <v>268</v>
      </c>
      <c r="W33" s="667" t="s">
        <v>277</v>
      </c>
      <c r="X33" s="668"/>
      <c r="Y33" s="668"/>
      <c r="Z33" s="668"/>
      <c r="AA33" s="668"/>
      <c r="AB33" s="668"/>
      <c r="AC33" s="668"/>
      <c r="AD33" s="668"/>
      <c r="AE33" s="669"/>
      <c r="AF33" s="659"/>
    </row>
    <row r="34" spans="2:32" ht="15.6" x14ac:dyDescent="0.25">
      <c r="B34" s="91" t="s">
        <v>268</v>
      </c>
      <c r="C34" s="593">
        <v>14</v>
      </c>
      <c r="D34" s="132">
        <v>46108</v>
      </c>
      <c r="E34" s="156">
        <v>8050</v>
      </c>
      <c r="F34" s="879">
        <v>12054</v>
      </c>
      <c r="G34" s="158">
        <f>(+(F34-E34)/E34*100)</f>
        <v>49.739130434782609</v>
      </c>
      <c r="H34" s="156">
        <v>7966</v>
      </c>
      <c r="I34" s="161">
        <f>(+(H34-E34)/E34*100)</f>
        <v>-1.0434782608695654</v>
      </c>
      <c r="J34" s="210">
        <v>1.4560999999999999</v>
      </c>
      <c r="K34" s="211">
        <v>189</v>
      </c>
      <c r="L34" s="608">
        <v>3628</v>
      </c>
      <c r="M34" s="136">
        <v>0</v>
      </c>
      <c r="N34" s="164">
        <f>+J34*((60)*H$5*1000/((G34-I34)*E34))</f>
        <v>1.9234197651663405</v>
      </c>
      <c r="O34" s="167">
        <f>+K34*(60)*H$5*1000/((G34-I34)*E34)</f>
        <v>249.65753424657535</v>
      </c>
      <c r="P34" s="177">
        <f>+L34/(F34-H34)*100</f>
        <v>88.74755381604696</v>
      </c>
      <c r="Q34" s="619" t="s">
        <v>267</v>
      </c>
      <c r="R34" s="575" t="s">
        <v>268</v>
      </c>
      <c r="S34" s="575" t="s">
        <v>269</v>
      </c>
      <c r="T34" s="575" t="s">
        <v>268</v>
      </c>
      <c r="U34" s="575" t="s">
        <v>268</v>
      </c>
      <c r="V34" s="576" t="s">
        <v>268</v>
      </c>
      <c r="W34" s="692" t="s">
        <v>278</v>
      </c>
      <c r="X34" s="693"/>
      <c r="Y34" s="693"/>
      <c r="Z34" s="693"/>
      <c r="AA34" s="693"/>
      <c r="AB34" s="693"/>
      <c r="AC34" s="693"/>
      <c r="AD34" s="693"/>
      <c r="AE34" s="694"/>
      <c r="AF34" s="659"/>
    </row>
    <row r="35" spans="2:32" ht="15.6" x14ac:dyDescent="0.25">
      <c r="B35" s="91" t="s">
        <v>268</v>
      </c>
      <c r="C35" s="593">
        <v>15</v>
      </c>
      <c r="D35" s="132">
        <v>46108</v>
      </c>
      <c r="E35" s="156">
        <v>928</v>
      </c>
      <c r="F35" s="879">
        <v>1486</v>
      </c>
      <c r="G35" s="158">
        <f>(+(F35-E35)/E35*100)</f>
        <v>60.129310344827594</v>
      </c>
      <c r="H35" s="156">
        <v>948</v>
      </c>
      <c r="I35" s="161">
        <f>(+(H35-E35)/E35*100)</f>
        <v>2.1551724137931036</v>
      </c>
      <c r="J35" s="210">
        <v>0.28888000000000003</v>
      </c>
      <c r="K35" s="211">
        <v>49</v>
      </c>
      <c r="L35" s="608">
        <v>600</v>
      </c>
      <c r="M35" s="136">
        <v>0</v>
      </c>
      <c r="N35" s="164">
        <f>+J35*((60)*H$5*1000/((G35-I35)*E35))</f>
        <v>2.8995390334572488</v>
      </c>
      <c r="O35" s="167">
        <f>+K35*(60)*H$5*1000/((G35-I35)*E35)</f>
        <v>491.82156133828988</v>
      </c>
      <c r="P35" s="177">
        <f>+L35/(F35-H35)*100</f>
        <v>111.52416356877323</v>
      </c>
      <c r="Q35" s="619" t="s">
        <v>267</v>
      </c>
      <c r="R35" s="575" t="s">
        <v>268</v>
      </c>
      <c r="S35" s="575" t="s">
        <v>269</v>
      </c>
      <c r="T35" s="575" t="s">
        <v>268</v>
      </c>
      <c r="U35" s="575" t="s">
        <v>268</v>
      </c>
      <c r="V35" s="576" t="s">
        <v>268</v>
      </c>
      <c r="W35" s="667" t="s">
        <v>280</v>
      </c>
      <c r="X35" s="668"/>
      <c r="Y35" s="668"/>
      <c r="Z35" s="668"/>
      <c r="AA35" s="668"/>
      <c r="AB35" s="668"/>
      <c r="AC35" s="668"/>
      <c r="AD35" s="668"/>
      <c r="AE35" s="669"/>
      <c r="AF35" s="659"/>
    </row>
    <row r="36" spans="2:32" ht="15.6" x14ac:dyDescent="0.25">
      <c r="B36" s="91" t="s">
        <v>268</v>
      </c>
      <c r="C36" s="593">
        <v>16</v>
      </c>
      <c r="D36" s="132">
        <v>46111</v>
      </c>
      <c r="E36" s="156">
        <v>1586</v>
      </c>
      <c r="F36" s="879">
        <v>2538</v>
      </c>
      <c r="G36" s="158">
        <f>(+(F36-E36)/E36*100)</f>
        <v>60.025220680958391</v>
      </c>
      <c r="H36" s="156">
        <v>1584</v>
      </c>
      <c r="I36" s="161">
        <f t="shared" ref="I36:I39" si="5">(+(H36-E36)/E36*100)</f>
        <v>-0.12610340479192939</v>
      </c>
      <c r="J36" s="210">
        <v>0.441</v>
      </c>
      <c r="K36" s="211">
        <v>68</v>
      </c>
      <c r="L36" s="608">
        <v>864</v>
      </c>
      <c r="M36" s="136">
        <v>0</v>
      </c>
      <c r="N36" s="164">
        <f t="shared" ref="N36:N39" si="6">+J36*((60)*H$5*1000/((G36-I36)*E36))</f>
        <v>2.4962264150943394</v>
      </c>
      <c r="O36" s="167">
        <f t="shared" ref="O36:O39" si="7">+K36*(60)*H$5*1000/((G36-I36)*E36)</f>
        <v>384.90566037735852</v>
      </c>
      <c r="P36" s="177">
        <f t="shared" ref="P36:P39" si="8">+L36/(F36-H36)*100</f>
        <v>90.566037735849065</v>
      </c>
      <c r="Q36" s="619" t="s">
        <v>267</v>
      </c>
      <c r="R36" s="575" t="s">
        <v>268</v>
      </c>
      <c r="S36" s="575" t="s">
        <v>269</v>
      </c>
      <c r="T36" s="575" t="s">
        <v>268</v>
      </c>
      <c r="U36" s="575" t="s">
        <v>268</v>
      </c>
      <c r="V36" s="576" t="s">
        <v>268</v>
      </c>
      <c r="W36" s="667" t="s">
        <v>279</v>
      </c>
      <c r="X36" s="668"/>
      <c r="Y36" s="668"/>
      <c r="Z36" s="668"/>
      <c r="AA36" s="668"/>
      <c r="AB36" s="668"/>
      <c r="AC36" s="668"/>
      <c r="AD36" s="668"/>
      <c r="AE36" s="669"/>
      <c r="AF36" s="659"/>
    </row>
    <row r="37" spans="2:32" ht="15.6" x14ac:dyDescent="0.25">
      <c r="B37" s="91" t="s">
        <v>268</v>
      </c>
      <c r="C37" s="595">
        <v>17</v>
      </c>
      <c r="D37" s="132">
        <v>46111</v>
      </c>
      <c r="E37" s="156">
        <v>2122</v>
      </c>
      <c r="F37" s="879">
        <v>3362</v>
      </c>
      <c r="G37" s="158">
        <f t="shared" ref="G37:G39" si="9">(+(F37-E37)/E37*100)</f>
        <v>58.435438265786999</v>
      </c>
      <c r="H37" s="156">
        <v>2112</v>
      </c>
      <c r="I37" s="161">
        <f t="shared" si="5"/>
        <v>-0.47125353440150797</v>
      </c>
      <c r="J37" s="210">
        <v>0.49399999999999999</v>
      </c>
      <c r="K37" s="211">
        <v>75</v>
      </c>
      <c r="L37" s="608">
        <v>1202</v>
      </c>
      <c r="M37" s="136">
        <v>0</v>
      </c>
      <c r="N37" s="164">
        <f t="shared" si="6"/>
        <v>2.13408</v>
      </c>
      <c r="O37" s="167">
        <f t="shared" si="7"/>
        <v>324</v>
      </c>
      <c r="P37" s="177">
        <f t="shared" si="8"/>
        <v>96.16</v>
      </c>
      <c r="Q37" s="619" t="s">
        <v>267</v>
      </c>
      <c r="R37" s="575" t="s">
        <v>268</v>
      </c>
      <c r="S37" s="575" t="s">
        <v>269</v>
      </c>
      <c r="T37" s="575" t="s">
        <v>268</v>
      </c>
      <c r="U37" s="575" t="s">
        <v>268</v>
      </c>
      <c r="V37" s="576" t="s">
        <v>268</v>
      </c>
      <c r="W37" s="667" t="s">
        <v>281</v>
      </c>
      <c r="X37" s="668"/>
      <c r="Y37" s="668"/>
      <c r="Z37" s="668"/>
      <c r="AA37" s="668"/>
      <c r="AB37" s="668"/>
      <c r="AC37" s="668"/>
      <c r="AD37" s="668"/>
      <c r="AE37" s="669"/>
      <c r="AF37" s="659"/>
    </row>
    <row r="38" spans="2:32" ht="15.6" x14ac:dyDescent="0.25">
      <c r="B38" s="91" t="s">
        <v>268</v>
      </c>
      <c r="C38" s="593">
        <v>18</v>
      </c>
      <c r="D38" s="132">
        <v>46112</v>
      </c>
      <c r="E38" s="156">
        <v>2830</v>
      </c>
      <c r="F38" s="879">
        <v>4392</v>
      </c>
      <c r="G38" s="158">
        <f t="shared" si="9"/>
        <v>55.194346289752652</v>
      </c>
      <c r="H38" s="156">
        <v>2808</v>
      </c>
      <c r="I38" s="161">
        <f t="shared" si="5"/>
        <v>-0.77738515901060079</v>
      </c>
      <c r="J38" s="210">
        <v>0.63900000000000001</v>
      </c>
      <c r="K38" s="211">
        <v>94</v>
      </c>
      <c r="L38" s="608">
        <v>1450</v>
      </c>
      <c r="M38" s="136">
        <v>0</v>
      </c>
      <c r="N38" s="164">
        <f t="shared" si="6"/>
        <v>2.1784090909090912</v>
      </c>
      <c r="O38" s="167">
        <f t="shared" si="7"/>
        <v>320.45454545454544</v>
      </c>
      <c r="P38" s="177">
        <f t="shared" si="8"/>
        <v>91.540404040404042</v>
      </c>
      <c r="Q38" s="619" t="s">
        <v>267</v>
      </c>
      <c r="R38" s="575" t="s">
        <v>268</v>
      </c>
      <c r="S38" s="575" t="s">
        <v>269</v>
      </c>
      <c r="T38" s="575" t="s">
        <v>268</v>
      </c>
      <c r="U38" s="575" t="s">
        <v>268</v>
      </c>
      <c r="V38" s="576" t="s">
        <v>268</v>
      </c>
      <c r="W38" s="667" t="s">
        <v>282</v>
      </c>
      <c r="X38" s="668"/>
      <c r="Y38" s="668"/>
      <c r="Z38" s="668"/>
      <c r="AA38" s="668"/>
      <c r="AB38" s="668"/>
      <c r="AC38" s="668"/>
      <c r="AD38" s="668"/>
      <c r="AE38" s="669"/>
      <c r="AF38" s="659"/>
    </row>
    <row r="39" spans="2:32" ht="15.6" x14ac:dyDescent="0.25">
      <c r="B39" s="91" t="s">
        <v>268</v>
      </c>
      <c r="C39" s="596">
        <v>19</v>
      </c>
      <c r="D39" s="132">
        <v>46112</v>
      </c>
      <c r="E39" s="156">
        <v>3495</v>
      </c>
      <c r="F39" s="879">
        <v>5506</v>
      </c>
      <c r="G39" s="158">
        <f t="shared" si="9"/>
        <v>57.539341917024323</v>
      </c>
      <c r="H39" s="156">
        <v>3528</v>
      </c>
      <c r="I39" s="161">
        <f t="shared" si="5"/>
        <v>0.94420600858369097</v>
      </c>
      <c r="J39" s="210">
        <v>0.72199999999999998</v>
      </c>
      <c r="K39" s="211">
        <v>102</v>
      </c>
      <c r="L39" s="608">
        <v>1860</v>
      </c>
      <c r="M39" s="136">
        <v>0</v>
      </c>
      <c r="N39" s="164">
        <f t="shared" si="6"/>
        <v>1.97108190091001</v>
      </c>
      <c r="O39" s="167">
        <f t="shared" si="7"/>
        <v>278.46309403437817</v>
      </c>
      <c r="P39" s="177">
        <f t="shared" si="8"/>
        <v>94.034378159757324</v>
      </c>
      <c r="Q39" s="619" t="s">
        <v>267</v>
      </c>
      <c r="R39" s="575" t="s">
        <v>268</v>
      </c>
      <c r="S39" s="575" t="s">
        <v>269</v>
      </c>
      <c r="T39" s="575" t="s">
        <v>268</v>
      </c>
      <c r="U39" s="575" t="s">
        <v>268</v>
      </c>
      <c r="V39" s="576" t="s">
        <v>268</v>
      </c>
      <c r="W39" s="667" t="s">
        <v>283</v>
      </c>
      <c r="X39" s="668"/>
      <c r="Y39" s="668"/>
      <c r="Z39" s="668"/>
      <c r="AA39" s="668"/>
      <c r="AB39" s="668"/>
      <c r="AC39" s="668"/>
      <c r="AD39" s="668"/>
      <c r="AE39" s="669"/>
      <c r="AF39" s="659"/>
    </row>
    <row r="40" spans="2:32" ht="15.6" x14ac:dyDescent="0.25">
      <c r="B40" s="91" t="s">
        <v>268</v>
      </c>
      <c r="C40" s="593">
        <v>20</v>
      </c>
      <c r="D40" s="132">
        <v>46113</v>
      </c>
      <c r="E40" s="156">
        <v>4106</v>
      </c>
      <c r="F40" s="879">
        <v>6502</v>
      </c>
      <c r="G40" s="158">
        <f>(+(F40-E40)/E40*100)</f>
        <v>58.353628835849982</v>
      </c>
      <c r="H40" s="156">
        <v>4086</v>
      </c>
      <c r="I40" s="161">
        <f>(+(H40-E40)/E40*100)</f>
        <v>-0.48709206039941549</v>
      </c>
      <c r="J40" s="210">
        <v>0.86263000000000001</v>
      </c>
      <c r="K40" s="211">
        <v>120</v>
      </c>
      <c r="L40" s="608">
        <v>2250</v>
      </c>
      <c r="M40" s="136">
        <v>0</v>
      </c>
      <c r="N40" s="164">
        <f>+J40*((60)*H$5*1000/((G40-I40)*E40))</f>
        <v>1.9280637417218542</v>
      </c>
      <c r="O40" s="167">
        <f>+K40*(60)*H$5*1000/((G40-I40)*E40)</f>
        <v>268.21192052980132</v>
      </c>
      <c r="P40" s="177">
        <f>+L40/(F40-H40)*100</f>
        <v>93.129139072847678</v>
      </c>
      <c r="Q40" s="619" t="s">
        <v>267</v>
      </c>
      <c r="R40" s="575" t="s">
        <v>268</v>
      </c>
      <c r="S40" s="575" t="s">
        <v>269</v>
      </c>
      <c r="T40" s="575" t="s">
        <v>268</v>
      </c>
      <c r="U40" s="575" t="s">
        <v>268</v>
      </c>
      <c r="V40" s="576" t="s">
        <v>268</v>
      </c>
      <c r="W40" s="667" t="s">
        <v>284</v>
      </c>
      <c r="X40" s="668"/>
      <c r="Y40" s="668"/>
      <c r="Z40" s="668"/>
      <c r="AA40" s="668"/>
      <c r="AB40" s="668"/>
      <c r="AC40" s="668"/>
      <c r="AD40" s="668"/>
      <c r="AE40" s="669"/>
      <c r="AF40" s="659"/>
    </row>
    <row r="41" spans="2:32" ht="15.6" x14ac:dyDescent="0.25">
      <c r="B41" s="91" t="s">
        <v>268</v>
      </c>
      <c r="C41" s="596">
        <v>21</v>
      </c>
      <c r="D41" s="132">
        <v>46113</v>
      </c>
      <c r="E41" s="156">
        <v>4714</v>
      </c>
      <c r="F41" s="879">
        <v>7510</v>
      </c>
      <c r="G41" s="158">
        <f>(+(F41-E41)/E41*100)</f>
        <v>59.312685617310137</v>
      </c>
      <c r="H41" s="156">
        <v>4718</v>
      </c>
      <c r="I41" s="161">
        <f>(+(H41-E41)/E41*100)</f>
        <v>8.4853627492575301E-2</v>
      </c>
      <c r="J41" s="210">
        <v>0.96438000000000001</v>
      </c>
      <c r="K41" s="211">
        <v>130</v>
      </c>
      <c r="L41" s="608">
        <v>2590</v>
      </c>
      <c r="M41" s="136">
        <v>0</v>
      </c>
      <c r="N41" s="164">
        <f>+J41*((60)*H$5*1000/((G41-I41)*E41))</f>
        <v>1.8652048710601719</v>
      </c>
      <c r="O41" s="167">
        <f>+K41*(60)*H$5*1000/((G41-I41)*E41)</f>
        <v>251.432664756447</v>
      </c>
      <c r="P41" s="177">
        <f>+L41/(F41-H41)*100</f>
        <v>92.765042979942692</v>
      </c>
      <c r="Q41" s="619" t="s">
        <v>267</v>
      </c>
      <c r="R41" s="575" t="s">
        <v>268</v>
      </c>
      <c r="S41" s="575" t="s">
        <v>269</v>
      </c>
      <c r="T41" s="575" t="s">
        <v>268</v>
      </c>
      <c r="U41" s="575" t="s">
        <v>268</v>
      </c>
      <c r="V41" s="576" t="s">
        <v>268</v>
      </c>
      <c r="W41" s="667" t="s">
        <v>285</v>
      </c>
      <c r="X41" s="668"/>
      <c r="Y41" s="668"/>
      <c r="Z41" s="668"/>
      <c r="AA41" s="668"/>
      <c r="AB41" s="668"/>
      <c r="AC41" s="668"/>
      <c r="AD41" s="668"/>
      <c r="AE41" s="669"/>
      <c r="AF41" s="659"/>
    </row>
    <row r="42" spans="2:32" ht="15.6" x14ac:dyDescent="0.25">
      <c r="B42" s="91" t="s">
        <v>268</v>
      </c>
      <c r="C42" s="593">
        <v>22</v>
      </c>
      <c r="D42" s="132">
        <v>46114</v>
      </c>
      <c r="E42" s="156">
        <v>5304</v>
      </c>
      <c r="F42" s="879">
        <v>8512</v>
      </c>
      <c r="G42" s="158">
        <f>(+(F42-E42)/E42*100)</f>
        <v>60.482654600301657</v>
      </c>
      <c r="H42" s="156">
        <v>5290</v>
      </c>
      <c r="I42" s="161">
        <f>(+(H42-E42)/E42*100)</f>
        <v>-0.26395173453996984</v>
      </c>
      <c r="J42" s="210">
        <v>1.0960000000000001</v>
      </c>
      <c r="K42" s="211">
        <v>146</v>
      </c>
      <c r="L42" s="608">
        <v>2988</v>
      </c>
      <c r="M42" s="136">
        <v>0</v>
      </c>
      <c r="N42" s="164">
        <f>+J42*((60)*H$5*1000/((G42-I42)*E42))</f>
        <v>1.8368715083798883</v>
      </c>
      <c r="O42" s="167">
        <f t="shared" ref="O42:O61" si="10">+K42*(60)*H$5*1000/((G42-I42)*E42)</f>
        <v>244.6927374301676</v>
      </c>
      <c r="P42" s="177">
        <f>+L42/(F42-H42)*100</f>
        <v>92.737430167597765</v>
      </c>
      <c r="Q42" s="619" t="s">
        <v>267</v>
      </c>
      <c r="R42" s="575" t="s">
        <v>268</v>
      </c>
      <c r="S42" s="575" t="s">
        <v>269</v>
      </c>
      <c r="T42" s="575" t="s">
        <v>268</v>
      </c>
      <c r="U42" s="575" t="s">
        <v>268</v>
      </c>
      <c r="V42" s="576" t="s">
        <v>268</v>
      </c>
      <c r="W42" s="667" t="s">
        <v>286</v>
      </c>
      <c r="X42" s="668"/>
      <c r="Y42" s="668"/>
      <c r="Z42" s="668"/>
      <c r="AA42" s="668"/>
      <c r="AB42" s="668"/>
      <c r="AC42" s="668"/>
      <c r="AD42" s="668"/>
      <c r="AE42" s="669"/>
      <c r="AF42" s="659"/>
    </row>
    <row r="43" spans="2:32" ht="15.6" x14ac:dyDescent="0.25">
      <c r="B43" s="91" t="s">
        <v>268</v>
      </c>
      <c r="C43" s="596">
        <v>23</v>
      </c>
      <c r="D43" s="132">
        <v>46114</v>
      </c>
      <c r="E43" s="156">
        <v>6010</v>
      </c>
      <c r="F43" s="879">
        <v>9524</v>
      </c>
      <c r="G43" s="158">
        <f t="shared" ref="G43:G66" si="11">(+(F43-E43)/E43*100)</f>
        <v>58.469217970049911</v>
      </c>
      <c r="H43" s="156">
        <v>5974</v>
      </c>
      <c r="I43" s="161">
        <f t="shared" ref="I43:I66" si="12">(+(H43-E43)/E43*100)</f>
        <v>-0.59900166389351084</v>
      </c>
      <c r="J43" s="210">
        <v>1.2150000000000001</v>
      </c>
      <c r="K43" s="211">
        <v>159</v>
      </c>
      <c r="L43" s="608">
        <v>3292</v>
      </c>
      <c r="M43" s="136">
        <v>0</v>
      </c>
      <c r="N43" s="164">
        <f t="shared" ref="N43:N61" si="13">+J43*((60)*H$5*1000/((G43-I43)*E43))</f>
        <v>1.8481690140845073</v>
      </c>
      <c r="O43" s="167">
        <f t="shared" si="10"/>
        <v>241.8591549295775</v>
      </c>
      <c r="P43" s="177">
        <f t="shared" ref="P43:P61" si="14">+L43/(F43-H43)*100</f>
        <v>92.732394366197184</v>
      </c>
      <c r="Q43" s="619" t="s">
        <v>267</v>
      </c>
      <c r="R43" s="575" t="s">
        <v>268</v>
      </c>
      <c r="S43" s="575" t="s">
        <v>269</v>
      </c>
      <c r="T43" s="575" t="s">
        <v>268</v>
      </c>
      <c r="U43" s="575" t="s">
        <v>268</v>
      </c>
      <c r="V43" s="576" t="s">
        <v>268</v>
      </c>
      <c r="W43" s="667" t="s">
        <v>287</v>
      </c>
      <c r="X43" s="668"/>
      <c r="Y43" s="668"/>
      <c r="Z43" s="668"/>
      <c r="AA43" s="668"/>
      <c r="AB43" s="668"/>
      <c r="AC43" s="668"/>
      <c r="AD43" s="668"/>
      <c r="AE43" s="669"/>
      <c r="AF43" s="659"/>
    </row>
    <row r="44" spans="2:32" ht="15.6" x14ac:dyDescent="0.25">
      <c r="B44" s="91" t="s">
        <v>268</v>
      </c>
      <c r="C44" s="593">
        <v>24</v>
      </c>
      <c r="D44" s="132">
        <v>46115</v>
      </c>
      <c r="E44" s="156">
        <v>6885</v>
      </c>
      <c r="F44" s="879">
        <v>10432</v>
      </c>
      <c r="G44" s="158">
        <f t="shared" si="11"/>
        <v>51.517792302106024</v>
      </c>
      <c r="H44" s="156">
        <v>6850</v>
      </c>
      <c r="I44" s="161">
        <f t="shared" si="12"/>
        <v>-0.50835148874364555</v>
      </c>
      <c r="J44" s="210">
        <v>1.2210000000000001</v>
      </c>
      <c r="K44" s="211">
        <v>158</v>
      </c>
      <c r="L44" s="608">
        <v>4278</v>
      </c>
      <c r="M44" s="136">
        <v>0</v>
      </c>
      <c r="N44" s="164">
        <f t="shared" si="13"/>
        <v>1.8407035175879403</v>
      </c>
      <c r="O44" s="167">
        <f t="shared" si="10"/>
        <v>238.19095477386938</v>
      </c>
      <c r="P44" s="177">
        <f t="shared" si="14"/>
        <v>119.43048576214406</v>
      </c>
      <c r="Q44" s="619" t="s">
        <v>267</v>
      </c>
      <c r="R44" s="575" t="s">
        <v>268</v>
      </c>
      <c r="S44" s="575" t="s">
        <v>269</v>
      </c>
      <c r="T44" s="575" t="s">
        <v>268</v>
      </c>
      <c r="U44" s="575" t="s">
        <v>268</v>
      </c>
      <c r="V44" s="576" t="s">
        <v>268</v>
      </c>
      <c r="W44" s="667" t="s">
        <v>288</v>
      </c>
      <c r="X44" s="668"/>
      <c r="Y44" s="668"/>
      <c r="Z44" s="668"/>
      <c r="AA44" s="668"/>
      <c r="AB44" s="668"/>
      <c r="AC44" s="668"/>
      <c r="AD44" s="668"/>
      <c r="AE44" s="669"/>
      <c r="AF44" s="659"/>
    </row>
    <row r="45" spans="2:32" ht="15.6" x14ac:dyDescent="0.25">
      <c r="B45" s="91" t="s">
        <v>268</v>
      </c>
      <c r="C45" s="596">
        <v>25</v>
      </c>
      <c r="D45" s="132">
        <v>46118</v>
      </c>
      <c r="E45" s="156">
        <v>7216</v>
      </c>
      <c r="F45" s="879">
        <v>11708</v>
      </c>
      <c r="G45" s="158">
        <f t="shared" si="11"/>
        <v>62.250554323725062</v>
      </c>
      <c r="H45" s="156">
        <v>7120</v>
      </c>
      <c r="I45" s="161">
        <f t="shared" si="12"/>
        <v>-1.3303769401330376</v>
      </c>
      <c r="J45" s="210">
        <v>1.6040000000000001</v>
      </c>
      <c r="K45" s="211">
        <v>212</v>
      </c>
      <c r="L45" s="608">
        <v>4264</v>
      </c>
      <c r="M45" s="136">
        <v>0</v>
      </c>
      <c r="N45" s="164">
        <f t="shared" si="13"/>
        <v>1.8878814298169138</v>
      </c>
      <c r="O45" s="167">
        <f t="shared" si="10"/>
        <v>249.52048823016563</v>
      </c>
      <c r="P45" s="177">
        <f t="shared" si="14"/>
        <v>92.938099389712292</v>
      </c>
      <c r="Q45" s="619" t="s">
        <v>267</v>
      </c>
      <c r="R45" s="575" t="s">
        <v>268</v>
      </c>
      <c r="S45" s="575" t="s">
        <v>269</v>
      </c>
      <c r="T45" s="575" t="s">
        <v>268</v>
      </c>
      <c r="U45" s="575" t="s">
        <v>268</v>
      </c>
      <c r="V45" s="576" t="s">
        <v>268</v>
      </c>
      <c r="W45" s="667" t="s">
        <v>289</v>
      </c>
      <c r="X45" s="668"/>
      <c r="Y45" s="668"/>
      <c r="Z45" s="668"/>
      <c r="AA45" s="668"/>
      <c r="AB45" s="668"/>
      <c r="AC45" s="668"/>
      <c r="AD45" s="668"/>
      <c r="AE45" s="669"/>
      <c r="AF45" s="659"/>
    </row>
    <row r="46" spans="2:32" ht="15.6" x14ac:dyDescent="0.25">
      <c r="B46" s="91" t="s">
        <v>268</v>
      </c>
      <c r="C46" s="593">
        <v>26</v>
      </c>
      <c r="D46" s="132">
        <v>46120</v>
      </c>
      <c r="E46" s="156">
        <v>7820</v>
      </c>
      <c r="F46" s="879">
        <v>12504</v>
      </c>
      <c r="G46" s="158">
        <f t="shared" si="11"/>
        <v>59.897698209718676</v>
      </c>
      <c r="H46" s="156">
        <v>7974</v>
      </c>
      <c r="I46" s="161">
        <f t="shared" si="12"/>
        <v>1.9693094629156009</v>
      </c>
      <c r="J46" s="210">
        <v>1.621</v>
      </c>
      <c r="K46" s="211">
        <v>215</v>
      </c>
      <c r="L46" s="608">
        <v>4336</v>
      </c>
      <c r="M46" s="136">
        <v>0</v>
      </c>
      <c r="N46" s="164">
        <f t="shared" si="13"/>
        <v>1.9323178807947021</v>
      </c>
      <c r="O46" s="167">
        <f t="shared" si="10"/>
        <v>256.29139072847681</v>
      </c>
      <c r="P46" s="177">
        <f t="shared" si="14"/>
        <v>95.717439293598233</v>
      </c>
      <c r="Q46" s="619" t="s">
        <v>267</v>
      </c>
      <c r="R46" s="575" t="s">
        <v>268</v>
      </c>
      <c r="S46" s="575" t="s">
        <v>269</v>
      </c>
      <c r="T46" s="575" t="s">
        <v>268</v>
      </c>
      <c r="U46" s="575" t="s">
        <v>268</v>
      </c>
      <c r="V46" s="576" t="s">
        <v>268</v>
      </c>
      <c r="W46" s="667" t="s">
        <v>291</v>
      </c>
      <c r="X46" s="668"/>
      <c r="Y46" s="668"/>
      <c r="Z46" s="668"/>
      <c r="AA46" s="668"/>
      <c r="AB46" s="668"/>
      <c r="AC46" s="668"/>
      <c r="AD46" s="668"/>
      <c r="AE46" s="669"/>
      <c r="AF46" s="659"/>
    </row>
    <row r="47" spans="2:32" ht="15.6" x14ac:dyDescent="0.25">
      <c r="B47" s="91" t="s">
        <v>268</v>
      </c>
      <c r="C47" s="596">
        <v>27</v>
      </c>
      <c r="D47" s="132">
        <v>46121</v>
      </c>
      <c r="E47" s="156">
        <v>8428</v>
      </c>
      <c r="F47" s="879">
        <v>13520</v>
      </c>
      <c r="G47" s="158">
        <f t="shared" si="11"/>
        <v>60.417655434266727</v>
      </c>
      <c r="H47" s="156">
        <v>8568</v>
      </c>
      <c r="I47" s="161">
        <f t="shared" si="12"/>
        <v>1.6611295681063125</v>
      </c>
      <c r="J47" s="610">
        <v>1.62</v>
      </c>
      <c r="K47" s="211">
        <v>203</v>
      </c>
      <c r="L47" s="608">
        <v>4386</v>
      </c>
      <c r="M47" s="136">
        <v>0</v>
      </c>
      <c r="N47" s="164">
        <f t="shared" si="13"/>
        <v>1.7665589660743135</v>
      </c>
      <c r="O47" s="167">
        <f t="shared" si="10"/>
        <v>221.36510500807753</v>
      </c>
      <c r="P47" s="177">
        <f t="shared" si="14"/>
        <v>88.570274636510504</v>
      </c>
      <c r="Q47" s="619" t="s">
        <v>267</v>
      </c>
      <c r="R47" s="575" t="s">
        <v>268</v>
      </c>
      <c r="S47" s="575" t="s">
        <v>269</v>
      </c>
      <c r="T47" s="575" t="s">
        <v>268</v>
      </c>
      <c r="U47" s="575" t="s">
        <v>268</v>
      </c>
      <c r="V47" s="576" t="s">
        <v>268</v>
      </c>
      <c r="W47" s="667" t="s">
        <v>292</v>
      </c>
      <c r="X47" s="668"/>
      <c r="Y47" s="668"/>
      <c r="Z47" s="668"/>
      <c r="AA47" s="668"/>
      <c r="AB47" s="668"/>
      <c r="AC47" s="668"/>
      <c r="AD47" s="668"/>
      <c r="AE47" s="669"/>
      <c r="AF47" s="659"/>
    </row>
    <row r="48" spans="2:32" ht="15.6" x14ac:dyDescent="0.25">
      <c r="B48" s="91" t="s">
        <v>268</v>
      </c>
      <c r="C48" s="593">
        <v>28</v>
      </c>
      <c r="D48" s="132">
        <v>46122</v>
      </c>
      <c r="E48" s="156">
        <v>9025</v>
      </c>
      <c r="F48" s="879">
        <v>14488</v>
      </c>
      <c r="G48" s="158">
        <f t="shared" si="11"/>
        <v>60.531855955678672</v>
      </c>
      <c r="H48" s="156">
        <v>9652</v>
      </c>
      <c r="I48" s="161">
        <f t="shared" si="12"/>
        <v>6.947368421052631</v>
      </c>
      <c r="J48" s="210">
        <v>1.583</v>
      </c>
      <c r="K48" s="211">
        <v>204</v>
      </c>
      <c r="L48" s="608">
        <v>4368</v>
      </c>
      <c r="M48" s="136">
        <v>0</v>
      </c>
      <c r="N48" s="164">
        <f t="shared" si="13"/>
        <v>1.7676178660049626</v>
      </c>
      <c r="O48" s="167">
        <f t="shared" si="10"/>
        <v>227.79156327543421</v>
      </c>
      <c r="P48" s="177">
        <f t="shared" si="14"/>
        <v>90.322580645161281</v>
      </c>
      <c r="Q48" s="619" t="s">
        <v>267</v>
      </c>
      <c r="R48" s="575" t="s">
        <v>268</v>
      </c>
      <c r="S48" s="575" t="s">
        <v>269</v>
      </c>
      <c r="T48" s="575" t="s">
        <v>268</v>
      </c>
      <c r="U48" s="575" t="s">
        <v>268</v>
      </c>
      <c r="V48" s="576" t="s">
        <v>268</v>
      </c>
      <c r="W48" s="667" t="s">
        <v>293</v>
      </c>
      <c r="X48" s="668"/>
      <c r="Y48" s="668"/>
      <c r="Z48" s="668"/>
      <c r="AA48" s="668"/>
      <c r="AB48" s="668"/>
      <c r="AC48" s="668"/>
      <c r="AD48" s="668"/>
      <c r="AE48" s="669"/>
      <c r="AF48" s="659"/>
    </row>
    <row r="49" spans="2:32" s="872" customFormat="1" ht="15.6" x14ac:dyDescent="0.25">
      <c r="B49" s="872" t="s">
        <v>268</v>
      </c>
      <c r="C49" s="854">
        <v>29</v>
      </c>
      <c r="D49" s="855">
        <v>46125</v>
      </c>
      <c r="E49" s="856">
        <v>618</v>
      </c>
      <c r="F49" s="879">
        <v>1140</v>
      </c>
      <c r="G49" s="858">
        <f t="shared" si="11"/>
        <v>84.466019417475721</v>
      </c>
      <c r="H49" s="856">
        <v>602</v>
      </c>
      <c r="I49" s="859">
        <f t="shared" si="12"/>
        <v>-2.5889967637540456</v>
      </c>
      <c r="J49" s="860">
        <v>0.372</v>
      </c>
      <c r="K49" s="857">
        <v>62</v>
      </c>
      <c r="L49" s="861">
        <v>530</v>
      </c>
      <c r="M49" s="862">
        <v>0</v>
      </c>
      <c r="N49" s="863">
        <f t="shared" si="13"/>
        <v>3.733828996282528</v>
      </c>
      <c r="O49" s="864">
        <f t="shared" si="10"/>
        <v>622.30483271375476</v>
      </c>
      <c r="P49" s="865">
        <f t="shared" si="14"/>
        <v>98.513011152416354</v>
      </c>
      <c r="Q49" s="866" t="s">
        <v>267</v>
      </c>
      <c r="R49" s="867" t="s">
        <v>268</v>
      </c>
      <c r="S49" s="867" t="s">
        <v>269</v>
      </c>
      <c r="T49" s="867" t="s">
        <v>268</v>
      </c>
      <c r="U49" s="867" t="s">
        <v>268</v>
      </c>
      <c r="V49" s="868" t="s">
        <v>268</v>
      </c>
      <c r="W49" s="869" t="s">
        <v>325</v>
      </c>
      <c r="X49" s="870"/>
      <c r="Y49" s="870"/>
      <c r="Z49" s="870"/>
      <c r="AA49" s="870"/>
      <c r="AB49" s="870"/>
      <c r="AC49" s="870"/>
      <c r="AD49" s="870"/>
      <c r="AE49" s="871"/>
    </row>
    <row r="50" spans="2:32" s="657" customFormat="1" ht="15.6" x14ac:dyDescent="0.25">
      <c r="B50" s="657" t="s">
        <v>268</v>
      </c>
      <c r="C50" s="642">
        <v>30</v>
      </c>
      <c r="D50" s="643">
        <v>46126</v>
      </c>
      <c r="E50" s="644">
        <v>947</v>
      </c>
      <c r="F50" s="879">
        <v>1474</v>
      </c>
      <c r="G50" s="646">
        <f t="shared" si="11"/>
        <v>55.649419218585003</v>
      </c>
      <c r="H50" s="644">
        <v>952</v>
      </c>
      <c r="I50" s="647">
        <f t="shared" si="12"/>
        <v>0.52798310454065467</v>
      </c>
      <c r="J50" s="648">
        <v>0.32029999999999997</v>
      </c>
      <c r="K50" s="645">
        <v>53</v>
      </c>
      <c r="L50" s="649">
        <v>600</v>
      </c>
      <c r="M50" s="650">
        <v>0</v>
      </c>
      <c r="N50" s="651">
        <f t="shared" si="13"/>
        <v>3.3134482758620689</v>
      </c>
      <c r="O50" s="652">
        <f t="shared" si="10"/>
        <v>548.27586206896547</v>
      </c>
      <c r="P50" s="653">
        <f t="shared" si="14"/>
        <v>114.94252873563218</v>
      </c>
      <c r="Q50" s="654" t="s">
        <v>267</v>
      </c>
      <c r="R50" s="655" t="s">
        <v>268</v>
      </c>
      <c r="S50" s="655" t="s">
        <v>269</v>
      </c>
      <c r="T50" s="655" t="s">
        <v>268</v>
      </c>
      <c r="U50" s="655" t="s">
        <v>268</v>
      </c>
      <c r="V50" s="656" t="s">
        <v>268</v>
      </c>
      <c r="W50" s="711" t="s">
        <v>295</v>
      </c>
      <c r="X50" s="712"/>
      <c r="Y50" s="712"/>
      <c r="Z50" s="712"/>
      <c r="AA50" s="712"/>
      <c r="AB50" s="712"/>
      <c r="AC50" s="712"/>
      <c r="AD50" s="712"/>
      <c r="AE50" s="713"/>
      <c r="AF50" s="658"/>
    </row>
    <row r="51" spans="2:32" ht="15.6" x14ac:dyDescent="0.25">
      <c r="B51" s="91" t="s">
        <v>268</v>
      </c>
      <c r="C51" s="596">
        <v>31</v>
      </c>
      <c r="D51" s="132">
        <v>46126</v>
      </c>
      <c r="E51" s="156">
        <v>1184</v>
      </c>
      <c r="F51" s="879">
        <v>2086</v>
      </c>
      <c r="G51" s="158">
        <f t="shared" si="11"/>
        <v>76.182432432432435</v>
      </c>
      <c r="H51" s="156">
        <v>1172</v>
      </c>
      <c r="I51" s="161">
        <f t="shared" si="12"/>
        <v>-1.0135135135135136</v>
      </c>
      <c r="J51" s="210">
        <v>0.45290000000000002</v>
      </c>
      <c r="K51" s="211">
        <v>68</v>
      </c>
      <c r="L51" s="608">
        <v>878</v>
      </c>
      <c r="M51" s="136">
        <v>0</v>
      </c>
      <c r="N51" s="164">
        <f t="shared" si="13"/>
        <v>2.6757768052516413</v>
      </c>
      <c r="O51" s="167">
        <f t="shared" si="10"/>
        <v>401.75054704595186</v>
      </c>
      <c r="P51" s="177">
        <f t="shared" si="14"/>
        <v>96.061269146608325</v>
      </c>
      <c r="Q51" s="619" t="s">
        <v>267</v>
      </c>
      <c r="R51" s="575" t="s">
        <v>268</v>
      </c>
      <c r="S51" s="575" t="s">
        <v>269</v>
      </c>
      <c r="T51" s="575" t="s">
        <v>268</v>
      </c>
      <c r="U51" s="575" t="s">
        <v>268</v>
      </c>
      <c r="V51" s="576" t="s">
        <v>268</v>
      </c>
      <c r="W51" s="667" t="s">
        <v>294</v>
      </c>
      <c r="X51" s="668"/>
      <c r="Y51" s="668"/>
      <c r="Z51" s="668"/>
      <c r="AA51" s="668"/>
      <c r="AB51" s="668"/>
      <c r="AC51" s="668"/>
      <c r="AD51" s="668"/>
      <c r="AE51" s="669"/>
      <c r="AF51" s="658"/>
    </row>
    <row r="52" spans="2:32" ht="15.6" x14ac:dyDescent="0.25">
      <c r="B52" s="91" t="s">
        <v>268</v>
      </c>
      <c r="C52" s="593">
        <v>32</v>
      </c>
      <c r="D52" s="132">
        <v>46126</v>
      </c>
      <c r="E52" s="156">
        <v>1510</v>
      </c>
      <c r="F52" s="879">
        <v>2502</v>
      </c>
      <c r="G52" s="158">
        <f t="shared" si="11"/>
        <v>65.69536423841059</v>
      </c>
      <c r="H52" s="156">
        <v>1480</v>
      </c>
      <c r="I52" s="161">
        <f t="shared" si="12"/>
        <v>-1.9867549668874174</v>
      </c>
      <c r="J52" s="210">
        <v>0.45900000000000002</v>
      </c>
      <c r="K52" s="211">
        <v>69</v>
      </c>
      <c r="L52" s="608">
        <v>950</v>
      </c>
      <c r="M52" s="136">
        <v>0</v>
      </c>
      <c r="N52" s="164">
        <f t="shared" si="13"/>
        <v>2.4252446183953036</v>
      </c>
      <c r="O52" s="167">
        <f t="shared" si="10"/>
        <v>364.57925636007832</v>
      </c>
      <c r="P52" s="177">
        <f t="shared" si="14"/>
        <v>92.954990215264189</v>
      </c>
      <c r="Q52" s="619" t="s">
        <v>267</v>
      </c>
      <c r="R52" s="575" t="s">
        <v>268</v>
      </c>
      <c r="S52" s="575" t="s">
        <v>269</v>
      </c>
      <c r="T52" s="575" t="s">
        <v>268</v>
      </c>
      <c r="U52" s="575" t="s">
        <v>268</v>
      </c>
      <c r="V52" s="576" t="s">
        <v>268</v>
      </c>
      <c r="W52" s="667" t="s">
        <v>296</v>
      </c>
      <c r="X52" s="668"/>
      <c r="Y52" s="668"/>
      <c r="Z52" s="668"/>
      <c r="AA52" s="668"/>
      <c r="AB52" s="668"/>
      <c r="AC52" s="668"/>
      <c r="AD52" s="668"/>
      <c r="AE52" s="669"/>
      <c r="AF52" s="658"/>
    </row>
    <row r="53" spans="2:32" ht="15.6" x14ac:dyDescent="0.25">
      <c r="B53" s="91" t="s">
        <v>268</v>
      </c>
      <c r="C53" s="596">
        <v>33</v>
      </c>
      <c r="D53" s="132">
        <v>46127</v>
      </c>
      <c r="E53" s="156">
        <v>320</v>
      </c>
      <c r="F53" s="879">
        <v>534</v>
      </c>
      <c r="G53" s="158">
        <f t="shared" si="11"/>
        <v>66.875</v>
      </c>
      <c r="H53" s="156">
        <v>304</v>
      </c>
      <c r="I53" s="161">
        <f t="shared" si="12"/>
        <v>-5</v>
      </c>
      <c r="J53" s="210">
        <v>0.2742</v>
      </c>
      <c r="K53" s="211">
        <v>49</v>
      </c>
      <c r="L53" s="608">
        <v>164</v>
      </c>
      <c r="M53" s="136">
        <v>0</v>
      </c>
      <c r="N53" s="164">
        <f t="shared" si="13"/>
        <v>6.4377391304347826</v>
      </c>
      <c r="O53" s="167">
        <f t="shared" si="10"/>
        <v>1150.4347826086957</v>
      </c>
      <c r="P53" s="177">
        <f t="shared" si="14"/>
        <v>71.304347826086953</v>
      </c>
      <c r="Q53" s="619" t="s">
        <v>267</v>
      </c>
      <c r="R53" s="575" t="s">
        <v>268</v>
      </c>
      <c r="S53" s="575" t="s">
        <v>269</v>
      </c>
      <c r="T53" s="575" t="s">
        <v>268</v>
      </c>
      <c r="U53" s="575" t="s">
        <v>268</v>
      </c>
      <c r="V53" s="576" t="s">
        <v>268</v>
      </c>
      <c r="W53" s="667" t="s">
        <v>297</v>
      </c>
      <c r="X53" s="668"/>
      <c r="Y53" s="668"/>
      <c r="Z53" s="668"/>
      <c r="AA53" s="668"/>
      <c r="AB53" s="668"/>
      <c r="AC53" s="668"/>
      <c r="AD53" s="668"/>
      <c r="AE53" s="669"/>
      <c r="AF53" s="661"/>
    </row>
    <row r="54" spans="2:32" ht="15.6" x14ac:dyDescent="0.25">
      <c r="B54" s="91" t="s">
        <v>268</v>
      </c>
      <c r="C54" s="593">
        <v>34</v>
      </c>
      <c r="D54" s="132">
        <v>46127</v>
      </c>
      <c r="E54" s="156">
        <v>304</v>
      </c>
      <c r="F54" s="879">
        <v>538</v>
      </c>
      <c r="G54" s="158">
        <f t="shared" si="11"/>
        <v>76.973684210526315</v>
      </c>
      <c r="H54" s="156">
        <v>302</v>
      </c>
      <c r="I54" s="161">
        <f t="shared" si="12"/>
        <v>-0.6578947368421052</v>
      </c>
      <c r="J54" s="210">
        <v>0.27982000000000001</v>
      </c>
      <c r="K54" s="211">
        <v>48</v>
      </c>
      <c r="L54" s="608">
        <v>200</v>
      </c>
      <c r="M54" s="136">
        <v>0</v>
      </c>
      <c r="N54" s="164">
        <f t="shared" si="13"/>
        <v>6.4026610169491533</v>
      </c>
      <c r="O54" s="167">
        <f t="shared" si="10"/>
        <v>1098.3050847457628</v>
      </c>
      <c r="P54" s="177">
        <f t="shared" si="14"/>
        <v>84.745762711864401</v>
      </c>
      <c r="Q54" s="619" t="s">
        <v>267</v>
      </c>
      <c r="R54" s="575" t="s">
        <v>268</v>
      </c>
      <c r="S54" s="575" t="s">
        <v>269</v>
      </c>
      <c r="T54" s="575" t="s">
        <v>268</v>
      </c>
      <c r="U54" s="575" t="s">
        <v>268</v>
      </c>
      <c r="V54" s="576" t="s">
        <v>268</v>
      </c>
      <c r="W54" s="667" t="s">
        <v>298</v>
      </c>
      <c r="X54" s="668"/>
      <c r="Y54" s="668"/>
      <c r="Z54" s="668"/>
      <c r="AA54" s="668"/>
      <c r="AB54" s="668"/>
      <c r="AC54" s="668"/>
      <c r="AD54" s="668"/>
      <c r="AE54" s="669"/>
      <c r="AF54" s="658"/>
    </row>
    <row r="55" spans="2:32" ht="15.6" x14ac:dyDescent="0.25">
      <c r="B55" s="91" t="s">
        <v>268</v>
      </c>
      <c r="C55" s="596">
        <v>35</v>
      </c>
      <c r="D55" s="132">
        <v>46127</v>
      </c>
      <c r="E55" s="156">
        <v>1886</v>
      </c>
      <c r="F55" s="879">
        <v>3008</v>
      </c>
      <c r="G55" s="158">
        <f t="shared" si="11"/>
        <v>59.490986214209975</v>
      </c>
      <c r="H55" s="156">
        <v>1872</v>
      </c>
      <c r="I55" s="161">
        <f t="shared" si="12"/>
        <v>-0.74231177094379641</v>
      </c>
      <c r="J55" s="210">
        <v>0.47760999999999998</v>
      </c>
      <c r="K55" s="211">
        <v>71</v>
      </c>
      <c r="L55" s="608">
        <v>1056</v>
      </c>
      <c r="M55" s="136">
        <v>0</v>
      </c>
      <c r="N55" s="164">
        <f t="shared" si="13"/>
        <v>2.2703292253521123</v>
      </c>
      <c r="O55" s="167">
        <f t="shared" si="10"/>
        <v>337.49999999999994</v>
      </c>
      <c r="P55" s="177">
        <f t="shared" si="14"/>
        <v>92.957746478873233</v>
      </c>
      <c r="Q55" s="619" t="s">
        <v>267</v>
      </c>
      <c r="R55" s="575" t="s">
        <v>268</v>
      </c>
      <c r="S55" s="575" t="s">
        <v>269</v>
      </c>
      <c r="T55" s="575" t="s">
        <v>268</v>
      </c>
      <c r="U55" s="575" t="s">
        <v>268</v>
      </c>
      <c r="V55" s="576" t="s">
        <v>268</v>
      </c>
      <c r="W55" s="667" t="s">
        <v>299</v>
      </c>
      <c r="X55" s="668"/>
      <c r="Y55" s="668"/>
      <c r="Z55" s="668"/>
      <c r="AA55" s="668"/>
      <c r="AB55" s="668"/>
      <c r="AC55" s="668"/>
      <c r="AD55" s="668"/>
      <c r="AE55" s="669"/>
      <c r="AF55" s="658"/>
    </row>
    <row r="56" spans="2:32" ht="15.6" x14ac:dyDescent="0.25">
      <c r="B56" s="91" t="s">
        <v>268</v>
      </c>
      <c r="C56" s="593">
        <v>36</v>
      </c>
      <c r="D56" s="132">
        <v>46127</v>
      </c>
      <c r="E56" s="156">
        <v>2180</v>
      </c>
      <c r="F56" s="879">
        <v>3504</v>
      </c>
      <c r="G56" s="158">
        <f t="shared" si="11"/>
        <v>60.73394495412844</v>
      </c>
      <c r="H56" s="156">
        <v>2172</v>
      </c>
      <c r="I56" s="161">
        <f t="shared" si="12"/>
        <v>-0.3669724770642202</v>
      </c>
      <c r="J56" s="210">
        <v>0.57399999999999995</v>
      </c>
      <c r="K56" s="211">
        <v>83</v>
      </c>
      <c r="L56" s="608">
        <v>1238</v>
      </c>
      <c r="M56" s="136">
        <v>0</v>
      </c>
      <c r="N56" s="164">
        <f t="shared" si="13"/>
        <v>2.327027027027027</v>
      </c>
      <c r="O56" s="167">
        <f t="shared" si="10"/>
        <v>336.48648648648651</v>
      </c>
      <c r="P56" s="177">
        <f t="shared" si="14"/>
        <v>92.942942942942935</v>
      </c>
      <c r="Q56" s="619" t="s">
        <v>267</v>
      </c>
      <c r="R56" s="575" t="s">
        <v>268</v>
      </c>
      <c r="S56" s="575" t="s">
        <v>269</v>
      </c>
      <c r="T56" s="575" t="s">
        <v>268</v>
      </c>
      <c r="U56" s="575" t="s">
        <v>268</v>
      </c>
      <c r="V56" s="576" t="s">
        <v>268</v>
      </c>
      <c r="W56" s="667" t="s">
        <v>300</v>
      </c>
      <c r="X56" s="668"/>
      <c r="Y56" s="668"/>
      <c r="Z56" s="668"/>
      <c r="AA56" s="668"/>
      <c r="AB56" s="668"/>
      <c r="AC56" s="668"/>
      <c r="AD56" s="668"/>
      <c r="AE56" s="669"/>
      <c r="AF56" s="658"/>
    </row>
    <row r="57" spans="2:32" s="589" customFormat="1" ht="15.6" x14ac:dyDescent="0.25">
      <c r="C57" s="597">
        <v>37</v>
      </c>
      <c r="D57" s="634">
        <v>46128</v>
      </c>
      <c r="E57" s="602">
        <v>2485</v>
      </c>
      <c r="F57" s="879">
        <v>4365</v>
      </c>
      <c r="G57" s="629">
        <f t="shared" si="11"/>
        <v>75.65392354124748</v>
      </c>
      <c r="H57" s="602">
        <v>2436</v>
      </c>
      <c r="I57" s="611">
        <f t="shared" si="12"/>
        <v>-1.971830985915493</v>
      </c>
      <c r="J57" s="612">
        <v>1.46</v>
      </c>
      <c r="K57" s="599">
        <v>215</v>
      </c>
      <c r="L57" s="613">
        <v>1830</v>
      </c>
      <c r="M57" s="605">
        <v>0</v>
      </c>
      <c r="N57" s="603">
        <f t="shared" si="13"/>
        <v>4.0870917573872481</v>
      </c>
      <c r="O57" s="604">
        <f t="shared" si="10"/>
        <v>601.86625194401256</v>
      </c>
      <c r="P57" s="606">
        <f t="shared" si="14"/>
        <v>94.867807153965785</v>
      </c>
      <c r="Q57" s="620" t="s">
        <v>267</v>
      </c>
      <c r="R57" s="587" t="s">
        <v>268</v>
      </c>
      <c r="S57" s="587" t="s">
        <v>269</v>
      </c>
      <c r="T57" s="587" t="s">
        <v>268</v>
      </c>
      <c r="U57" s="587" t="s">
        <v>268</v>
      </c>
      <c r="V57" s="588" t="s">
        <v>268</v>
      </c>
      <c r="W57" s="695" t="s">
        <v>301</v>
      </c>
      <c r="X57" s="696"/>
      <c r="Y57" s="696"/>
      <c r="Z57" s="696"/>
      <c r="AA57" s="696"/>
      <c r="AB57" s="696"/>
      <c r="AC57" s="696"/>
      <c r="AD57" s="696"/>
      <c r="AE57" s="697"/>
      <c r="AF57" s="658"/>
    </row>
    <row r="58" spans="2:32" ht="15.6" x14ac:dyDescent="0.25">
      <c r="B58" s="91" t="s">
        <v>268</v>
      </c>
      <c r="C58" s="593">
        <v>38</v>
      </c>
      <c r="D58" s="132">
        <v>46129</v>
      </c>
      <c r="E58" s="156">
        <v>2520</v>
      </c>
      <c r="F58" s="879">
        <v>4018</v>
      </c>
      <c r="G58" s="158">
        <f t="shared" si="11"/>
        <v>59.444444444444443</v>
      </c>
      <c r="H58" s="156">
        <v>2680</v>
      </c>
      <c r="I58" s="161">
        <f t="shared" si="12"/>
        <v>6.3492063492063489</v>
      </c>
      <c r="J58" s="210">
        <v>0.55252999999999997</v>
      </c>
      <c r="K58" s="211">
        <v>84</v>
      </c>
      <c r="L58" s="608">
        <v>1048</v>
      </c>
      <c r="M58" s="136">
        <v>0</v>
      </c>
      <c r="N58" s="164">
        <f t="shared" si="13"/>
        <v>2.2299417040358742</v>
      </c>
      <c r="O58" s="167">
        <f t="shared" si="10"/>
        <v>339.01345291479822</v>
      </c>
      <c r="P58" s="177">
        <f t="shared" si="14"/>
        <v>78.325859491778772</v>
      </c>
      <c r="Q58" s="619" t="s">
        <v>267</v>
      </c>
      <c r="R58" s="575" t="s">
        <v>268</v>
      </c>
      <c r="S58" s="575" t="s">
        <v>269</v>
      </c>
      <c r="T58" s="575" t="s">
        <v>268</v>
      </c>
      <c r="U58" s="575" t="s">
        <v>268</v>
      </c>
      <c r="V58" s="576" t="s">
        <v>268</v>
      </c>
      <c r="W58" s="667" t="s">
        <v>302</v>
      </c>
      <c r="X58" s="668"/>
      <c r="Y58" s="668"/>
      <c r="Z58" s="668"/>
      <c r="AA58" s="668"/>
      <c r="AB58" s="668"/>
      <c r="AC58" s="668"/>
      <c r="AD58" s="668"/>
      <c r="AE58" s="669"/>
      <c r="AF58" s="658"/>
    </row>
    <row r="59" spans="2:32" ht="15.6" x14ac:dyDescent="0.25">
      <c r="B59" s="91" t="s">
        <v>268</v>
      </c>
      <c r="C59" s="596">
        <v>39</v>
      </c>
      <c r="D59" s="132">
        <v>46129</v>
      </c>
      <c r="E59" s="156">
        <v>2950</v>
      </c>
      <c r="F59" s="879">
        <v>4504</v>
      </c>
      <c r="G59" s="158">
        <f t="shared" si="11"/>
        <v>52.677966101694921</v>
      </c>
      <c r="H59" s="156">
        <v>2830</v>
      </c>
      <c r="I59" s="161">
        <f t="shared" si="12"/>
        <v>-4.0677966101694913</v>
      </c>
      <c r="J59" s="210">
        <v>0.65500000000000003</v>
      </c>
      <c r="K59" s="211">
        <v>95</v>
      </c>
      <c r="L59" s="608">
        <v>1552</v>
      </c>
      <c r="M59" s="136">
        <v>0</v>
      </c>
      <c r="N59" s="164">
        <f t="shared" si="13"/>
        <v>2.1129032258064511</v>
      </c>
      <c r="O59" s="167">
        <f t="shared" si="10"/>
        <v>306.45161290322574</v>
      </c>
      <c r="P59" s="177">
        <f t="shared" si="14"/>
        <v>92.712066905615302</v>
      </c>
      <c r="Q59" s="619" t="s">
        <v>267</v>
      </c>
      <c r="R59" s="575" t="s">
        <v>268</v>
      </c>
      <c r="S59" s="575" t="s">
        <v>269</v>
      </c>
      <c r="T59" s="575" t="s">
        <v>268</v>
      </c>
      <c r="U59" s="575" t="s">
        <v>268</v>
      </c>
      <c r="V59" s="576" t="s">
        <v>268</v>
      </c>
      <c r="W59" s="667" t="s">
        <v>303</v>
      </c>
      <c r="X59" s="668"/>
      <c r="Y59" s="668"/>
      <c r="Z59" s="668"/>
      <c r="AA59" s="668"/>
      <c r="AB59" s="668"/>
      <c r="AC59" s="668"/>
      <c r="AD59" s="668"/>
      <c r="AE59" s="669"/>
      <c r="AF59" s="658"/>
    </row>
    <row r="60" spans="2:32" s="657" customFormat="1" ht="15.6" x14ac:dyDescent="0.25">
      <c r="B60" s="657" t="s">
        <v>268</v>
      </c>
      <c r="C60" s="642">
        <v>40</v>
      </c>
      <c r="D60" s="643">
        <v>46129</v>
      </c>
      <c r="E60" s="644">
        <v>3185</v>
      </c>
      <c r="F60" s="879">
        <v>5000</v>
      </c>
      <c r="G60" s="646">
        <f t="shared" si="11"/>
        <v>56.985871271585552</v>
      </c>
      <c r="H60" s="644">
        <v>3195</v>
      </c>
      <c r="I60" s="647">
        <f t="shared" si="12"/>
        <v>0.31397174254317112</v>
      </c>
      <c r="J60" s="648">
        <v>0.67200000000000004</v>
      </c>
      <c r="K60" s="645">
        <v>96</v>
      </c>
      <c r="L60" s="649">
        <v>1702</v>
      </c>
      <c r="M60" s="650">
        <v>0</v>
      </c>
      <c r="N60" s="651">
        <f t="shared" si="13"/>
        <v>2.0104155124653742</v>
      </c>
      <c r="O60" s="652">
        <f t="shared" si="10"/>
        <v>287.20221606648204</v>
      </c>
      <c r="P60" s="653">
        <f t="shared" si="14"/>
        <v>94.293628808864256</v>
      </c>
      <c r="Q60" s="654" t="s">
        <v>267</v>
      </c>
      <c r="R60" s="655" t="s">
        <v>268</v>
      </c>
      <c r="S60" s="655" t="s">
        <v>269</v>
      </c>
      <c r="T60" s="655" t="s">
        <v>268</v>
      </c>
      <c r="U60" s="655" t="s">
        <v>268</v>
      </c>
      <c r="V60" s="656" t="s">
        <v>268</v>
      </c>
      <c r="W60" s="711" t="s">
        <v>304</v>
      </c>
      <c r="X60" s="712"/>
      <c r="Y60" s="712"/>
      <c r="Z60" s="712"/>
      <c r="AA60" s="712"/>
      <c r="AB60" s="712"/>
      <c r="AC60" s="712"/>
      <c r="AD60" s="712"/>
      <c r="AE60" s="713"/>
      <c r="AF60" s="658"/>
    </row>
    <row r="61" spans="2:32" ht="15.6" x14ac:dyDescent="0.25">
      <c r="B61" s="91" t="s">
        <v>268</v>
      </c>
      <c r="C61" s="596">
        <v>41</v>
      </c>
      <c r="D61" s="132">
        <v>46132</v>
      </c>
      <c r="E61" s="156">
        <v>3528</v>
      </c>
      <c r="F61" s="879">
        <v>5518</v>
      </c>
      <c r="G61" s="158">
        <f t="shared" si="11"/>
        <v>56.405895691609977</v>
      </c>
      <c r="H61" s="156">
        <v>3452</v>
      </c>
      <c r="I61" s="161">
        <f t="shared" si="12"/>
        <v>-2.1541950113378685</v>
      </c>
      <c r="J61" s="210">
        <v>0.79700000000000004</v>
      </c>
      <c r="K61" s="211">
        <v>115</v>
      </c>
      <c r="L61" s="608">
        <v>1886</v>
      </c>
      <c r="M61" s="136">
        <v>0</v>
      </c>
      <c r="N61" s="164">
        <f t="shared" si="13"/>
        <v>2.0831558567279771</v>
      </c>
      <c r="O61" s="167">
        <f t="shared" si="10"/>
        <v>300.58083252662146</v>
      </c>
      <c r="P61" s="177">
        <f t="shared" si="14"/>
        <v>91.287512100677631</v>
      </c>
      <c r="Q61" s="619" t="s">
        <v>267</v>
      </c>
      <c r="R61" s="575" t="s">
        <v>268</v>
      </c>
      <c r="S61" s="575" t="s">
        <v>269</v>
      </c>
      <c r="T61" s="575" t="s">
        <v>268</v>
      </c>
      <c r="U61" s="575" t="s">
        <v>268</v>
      </c>
      <c r="V61" s="576" t="s">
        <v>268</v>
      </c>
      <c r="W61" s="667" t="s">
        <v>305</v>
      </c>
      <c r="X61" s="668"/>
      <c r="Y61" s="668"/>
      <c r="Z61" s="668"/>
      <c r="AA61" s="668"/>
      <c r="AB61" s="668"/>
      <c r="AC61" s="668"/>
      <c r="AD61" s="668"/>
      <c r="AE61" s="669"/>
      <c r="AF61" s="658"/>
    </row>
    <row r="62" spans="2:32" ht="15.6" x14ac:dyDescent="0.25">
      <c r="B62" s="91" t="s">
        <v>268</v>
      </c>
      <c r="C62" s="593">
        <v>42</v>
      </c>
      <c r="D62" s="132">
        <v>46132</v>
      </c>
      <c r="E62" s="156">
        <v>3766</v>
      </c>
      <c r="F62" s="879">
        <v>6022</v>
      </c>
      <c r="G62" s="158">
        <f t="shared" si="11"/>
        <v>59.904407859798191</v>
      </c>
      <c r="H62" s="156">
        <v>3794</v>
      </c>
      <c r="I62" s="161">
        <f t="shared" si="12"/>
        <v>0.74349442379182151</v>
      </c>
      <c r="J62" s="210">
        <v>0.82299999999999995</v>
      </c>
      <c r="K62" s="211">
        <v>113</v>
      </c>
      <c r="L62" s="608">
        <v>2084</v>
      </c>
      <c r="M62" s="136">
        <v>0</v>
      </c>
      <c r="N62" s="164">
        <f t="shared" ref="N62:N66" si="15">+J62*((60)*H$5*1000/((G62-I62)*E62))</f>
        <v>1.9947037701974868</v>
      </c>
      <c r="O62" s="167">
        <f t="shared" ref="O62:O66" si="16">+K62*(60)*H$5*1000/((G62-I62)*E62)</f>
        <v>273.87791741472176</v>
      </c>
      <c r="P62" s="177">
        <f t="shared" ref="P62:P66" si="17">+L62/(F62-H62)*100</f>
        <v>93.53680430879713</v>
      </c>
      <c r="Q62" s="619" t="s">
        <v>267</v>
      </c>
      <c r="R62" s="575" t="s">
        <v>268</v>
      </c>
      <c r="S62" s="575" t="s">
        <v>269</v>
      </c>
      <c r="T62" s="575" t="s">
        <v>268</v>
      </c>
      <c r="U62" s="575" t="s">
        <v>268</v>
      </c>
      <c r="V62" s="576" t="s">
        <v>268</v>
      </c>
      <c r="W62" s="667" t="s">
        <v>306</v>
      </c>
      <c r="X62" s="668"/>
      <c r="Y62" s="668"/>
      <c r="Z62" s="668"/>
      <c r="AA62" s="668"/>
      <c r="AB62" s="668"/>
      <c r="AC62" s="668"/>
      <c r="AD62" s="668"/>
      <c r="AE62" s="669"/>
      <c r="AF62" s="658"/>
    </row>
    <row r="63" spans="2:32" ht="15.6" x14ac:dyDescent="0.25">
      <c r="B63" s="91" t="s">
        <v>268</v>
      </c>
      <c r="C63" s="596">
        <v>43</v>
      </c>
      <c r="D63" s="132">
        <v>46133</v>
      </c>
      <c r="E63" s="156">
        <v>4104</v>
      </c>
      <c r="F63" s="879">
        <v>6504</v>
      </c>
      <c r="G63" s="158">
        <f t="shared" si="11"/>
        <v>58.479532163742689</v>
      </c>
      <c r="H63" s="156">
        <v>4112</v>
      </c>
      <c r="I63" s="161">
        <f t="shared" si="12"/>
        <v>0.19493177387914229</v>
      </c>
      <c r="J63" s="210">
        <v>0.83</v>
      </c>
      <c r="K63" s="211">
        <v>118</v>
      </c>
      <c r="L63" s="608">
        <v>2202</v>
      </c>
      <c r="M63" s="136">
        <v>0</v>
      </c>
      <c r="N63" s="164">
        <f t="shared" si="15"/>
        <v>1.8737458193979932</v>
      </c>
      <c r="O63" s="167">
        <f t="shared" si="16"/>
        <v>266.38795986622074</v>
      </c>
      <c r="P63" s="177">
        <f t="shared" si="17"/>
        <v>92.056856187290975</v>
      </c>
      <c r="Q63" s="619" t="s">
        <v>267</v>
      </c>
      <c r="R63" s="575" t="s">
        <v>268</v>
      </c>
      <c r="S63" s="575" t="s">
        <v>269</v>
      </c>
      <c r="T63" s="575" t="s">
        <v>268</v>
      </c>
      <c r="U63" s="575" t="s">
        <v>268</v>
      </c>
      <c r="V63" s="576" t="s">
        <v>268</v>
      </c>
      <c r="W63" s="667" t="s">
        <v>307</v>
      </c>
      <c r="X63" s="668"/>
      <c r="Y63" s="668"/>
      <c r="Z63" s="668"/>
      <c r="AA63" s="668"/>
      <c r="AB63" s="668"/>
      <c r="AC63" s="668"/>
      <c r="AD63" s="668"/>
      <c r="AE63" s="669"/>
      <c r="AF63" s="658"/>
    </row>
    <row r="64" spans="2:32" ht="15.6" x14ac:dyDescent="0.25">
      <c r="B64" s="91" t="s">
        <v>268</v>
      </c>
      <c r="C64" s="593">
        <v>44</v>
      </c>
      <c r="D64" s="132">
        <v>46133</v>
      </c>
      <c r="E64" s="156">
        <v>4348</v>
      </c>
      <c r="F64" s="879">
        <v>6975</v>
      </c>
      <c r="G64" s="158">
        <f t="shared" si="11"/>
        <v>60.418583256669734</v>
      </c>
      <c r="H64" s="156">
        <v>4550</v>
      </c>
      <c r="I64" s="161">
        <f t="shared" si="12"/>
        <v>4.6458141674333024</v>
      </c>
      <c r="J64" s="210">
        <v>0.83399999999999996</v>
      </c>
      <c r="K64" s="211">
        <v>115</v>
      </c>
      <c r="L64" s="608">
        <v>2202</v>
      </c>
      <c r="M64" s="136">
        <v>0</v>
      </c>
      <c r="N64" s="164">
        <f t="shared" si="15"/>
        <v>1.8571546391752578</v>
      </c>
      <c r="O64" s="167">
        <f t="shared" si="16"/>
        <v>256.08247422680415</v>
      </c>
      <c r="P64" s="177">
        <f t="shared" si="17"/>
        <v>90.804123711340196</v>
      </c>
      <c r="Q64" s="619" t="s">
        <v>267</v>
      </c>
      <c r="R64" s="575" t="s">
        <v>268</v>
      </c>
      <c r="S64" s="575" t="s">
        <v>269</v>
      </c>
      <c r="T64" s="575" t="s">
        <v>268</v>
      </c>
      <c r="U64" s="575" t="s">
        <v>268</v>
      </c>
      <c r="V64" s="576" t="s">
        <v>268</v>
      </c>
      <c r="W64" s="667" t="s">
        <v>308</v>
      </c>
      <c r="X64" s="668"/>
      <c r="Y64" s="668"/>
      <c r="Z64" s="668"/>
      <c r="AA64" s="668"/>
      <c r="AB64" s="668"/>
      <c r="AC64" s="668"/>
      <c r="AD64" s="668"/>
      <c r="AE64" s="669"/>
      <c r="AF64" s="658"/>
    </row>
    <row r="65" spans="2:32" ht="15.6" x14ac:dyDescent="0.25">
      <c r="B65" s="91" t="s">
        <v>268</v>
      </c>
      <c r="C65" s="596">
        <v>45</v>
      </c>
      <c r="D65" s="132">
        <v>46134</v>
      </c>
      <c r="E65" s="156">
        <v>4995</v>
      </c>
      <c r="F65" s="879">
        <v>7500</v>
      </c>
      <c r="G65" s="158">
        <f t="shared" ref="G65" si="18">(+(F65-E65)/E65*100)</f>
        <v>50.150150150150154</v>
      </c>
      <c r="H65" s="156">
        <v>4935</v>
      </c>
      <c r="I65" s="161">
        <f t="shared" ref="I65" si="19">(+(H65-E65)/E65*100)</f>
        <v>-1.2012012012012012</v>
      </c>
      <c r="J65" s="210">
        <v>0.86297999999999997</v>
      </c>
      <c r="K65" s="211">
        <v>118</v>
      </c>
      <c r="L65" s="608">
        <v>2414</v>
      </c>
      <c r="M65" s="136">
        <v>0</v>
      </c>
      <c r="N65" s="164">
        <f t="shared" ref="N65" si="20">+J65*((60)*H$5*1000/((G65-I65)*E65))</f>
        <v>1.8167999999999997</v>
      </c>
      <c r="O65" s="167">
        <f t="shared" ref="O65" si="21">+K65*(60)*H$5*1000/((G65-I65)*E65)</f>
        <v>248.42105263157893</v>
      </c>
      <c r="P65" s="177">
        <f t="shared" ref="P65" si="22">+L65/(F65-H65)*100</f>
        <v>94.113060428849906</v>
      </c>
      <c r="Q65" s="619" t="s">
        <v>267</v>
      </c>
      <c r="R65" s="575" t="s">
        <v>268</v>
      </c>
      <c r="S65" s="575" t="s">
        <v>269</v>
      </c>
      <c r="T65" s="575" t="s">
        <v>268</v>
      </c>
      <c r="U65" s="575" t="s">
        <v>268</v>
      </c>
      <c r="V65" s="576" t="s">
        <v>268</v>
      </c>
      <c r="W65" s="667" t="s">
        <v>309</v>
      </c>
      <c r="X65" s="668"/>
      <c r="Y65" s="668"/>
      <c r="Z65" s="668"/>
      <c r="AA65" s="668"/>
      <c r="AB65" s="668"/>
      <c r="AC65" s="668"/>
      <c r="AD65" s="668"/>
      <c r="AE65" s="669"/>
      <c r="AF65" s="658"/>
    </row>
    <row r="66" spans="2:32" ht="27.75" customHeight="1" x14ac:dyDescent="0.25">
      <c r="B66" s="91" t="s">
        <v>268</v>
      </c>
      <c r="C66" s="593">
        <v>46</v>
      </c>
      <c r="D66" s="132">
        <v>46134</v>
      </c>
      <c r="E66" s="156">
        <v>5055</v>
      </c>
      <c r="F66" s="879">
        <v>8005</v>
      </c>
      <c r="G66" s="158">
        <f t="shared" si="11"/>
        <v>58.358061325420373</v>
      </c>
      <c r="H66" s="156">
        <v>5034</v>
      </c>
      <c r="I66" s="161">
        <f t="shared" si="12"/>
        <v>-0.41543026706231451</v>
      </c>
      <c r="J66" s="210">
        <v>0.97</v>
      </c>
      <c r="K66" s="211">
        <v>129</v>
      </c>
      <c r="L66" s="608">
        <v>2716</v>
      </c>
      <c r="M66" s="136">
        <v>0</v>
      </c>
      <c r="N66" s="164">
        <f t="shared" si="15"/>
        <v>1.7630427465499832</v>
      </c>
      <c r="O66" s="167">
        <f t="shared" si="16"/>
        <v>234.46650959272972</v>
      </c>
      <c r="P66" s="177">
        <f t="shared" si="17"/>
        <v>91.417031302591724</v>
      </c>
      <c r="Q66" s="619" t="s">
        <v>267</v>
      </c>
      <c r="R66" s="575" t="s">
        <v>268</v>
      </c>
      <c r="S66" s="575" t="s">
        <v>269</v>
      </c>
      <c r="T66" s="575" t="s">
        <v>268</v>
      </c>
      <c r="U66" s="575" t="s">
        <v>268</v>
      </c>
      <c r="V66" s="576" t="s">
        <v>268</v>
      </c>
      <c r="W66" s="667" t="s">
        <v>310</v>
      </c>
      <c r="X66" s="668"/>
      <c r="Y66" s="668"/>
      <c r="Z66" s="668"/>
      <c r="AA66" s="668"/>
      <c r="AB66" s="668"/>
      <c r="AC66" s="668"/>
      <c r="AD66" s="668"/>
      <c r="AE66" s="669"/>
      <c r="AF66" s="658"/>
    </row>
    <row r="67" spans="2:32" ht="30" customHeight="1" x14ac:dyDescent="0.25">
      <c r="B67" s="91" t="s">
        <v>268</v>
      </c>
      <c r="C67" s="596">
        <v>47</v>
      </c>
      <c r="D67" s="132">
        <v>46139</v>
      </c>
      <c r="E67" s="156">
        <v>5358</v>
      </c>
      <c r="F67" s="879">
        <v>8738</v>
      </c>
      <c r="G67" s="158">
        <f>(+(F67-E67)/E67*100)</f>
        <v>63.083240014930944</v>
      </c>
      <c r="H67" s="156">
        <v>5368</v>
      </c>
      <c r="I67" s="161">
        <f>(+(H67-E67)/E67*100)</f>
        <v>0.1866368047779022</v>
      </c>
      <c r="J67" s="210">
        <v>1.1060000000000001</v>
      </c>
      <c r="K67" s="211">
        <v>149</v>
      </c>
      <c r="L67" s="608">
        <v>3028</v>
      </c>
      <c r="M67" s="136">
        <v>0</v>
      </c>
      <c r="N67" s="164">
        <f>+J67*((60)*H$5*1000/((G67-I67)*E67))</f>
        <v>1.772225519287834</v>
      </c>
      <c r="O67" s="167">
        <f>+K67*(60)*H$5*1000/((G67-I67)*E67)</f>
        <v>238.75370919881306</v>
      </c>
      <c r="P67" s="177">
        <f>+L67/(F67-H67)*100</f>
        <v>89.85163204747775</v>
      </c>
      <c r="Q67" s="619" t="s">
        <v>267</v>
      </c>
      <c r="R67" s="575" t="s">
        <v>268</v>
      </c>
      <c r="S67" s="575" t="s">
        <v>269</v>
      </c>
      <c r="T67" s="575" t="s">
        <v>268</v>
      </c>
      <c r="U67" s="575" t="s">
        <v>268</v>
      </c>
      <c r="V67" s="576" t="s">
        <v>268</v>
      </c>
      <c r="W67" s="667" t="s">
        <v>311</v>
      </c>
      <c r="X67" s="668"/>
      <c r="Y67" s="668"/>
      <c r="Z67" s="668"/>
      <c r="AA67" s="668"/>
      <c r="AB67" s="668"/>
      <c r="AC67" s="668"/>
      <c r="AD67" s="668"/>
      <c r="AE67" s="669"/>
      <c r="AF67" s="658"/>
    </row>
    <row r="68" spans="2:32" ht="15.6" x14ac:dyDescent="0.25">
      <c r="B68" s="91" t="s">
        <v>268</v>
      </c>
      <c r="C68" s="593">
        <v>48</v>
      </c>
      <c r="D68" s="132">
        <v>46139</v>
      </c>
      <c r="E68" s="156">
        <v>5650</v>
      </c>
      <c r="F68" s="879">
        <v>8922</v>
      </c>
      <c r="G68" s="158">
        <f t="shared" ref="G68:G78" si="23">(+(F68-E68)/E68*100)</f>
        <v>57.911504424778762</v>
      </c>
      <c r="H68" s="156">
        <v>5740</v>
      </c>
      <c r="I68" s="161">
        <f t="shared" ref="I68:I78" si="24">(+(H68-E68)/E68*100)</f>
        <v>1.5929203539823009</v>
      </c>
      <c r="J68" s="210">
        <v>1.0249999999999999</v>
      </c>
      <c r="K68" s="211">
        <v>135</v>
      </c>
      <c r="L68" s="608">
        <v>2950</v>
      </c>
      <c r="M68" s="136">
        <v>0</v>
      </c>
      <c r="N68" s="164">
        <f t="shared" ref="N68:N78" si="25">+J68*((60)*H$5*1000/((G68-I68)*E68))</f>
        <v>1.7394720301697044</v>
      </c>
      <c r="O68" s="167">
        <f t="shared" ref="O68:O78" si="26">+K68*(60)*H$5*1000/((G68-I68)*E68)</f>
        <v>229.10119421747328</v>
      </c>
      <c r="P68" s="177">
        <f t="shared" ref="P68:P78" si="27">+L68/(F68-H68)*100</f>
        <v>92.708988057825266</v>
      </c>
      <c r="Q68" s="619" t="s">
        <v>267</v>
      </c>
      <c r="R68" s="575" t="s">
        <v>268</v>
      </c>
      <c r="S68" s="575" t="s">
        <v>269</v>
      </c>
      <c r="T68" s="575" t="s">
        <v>268</v>
      </c>
      <c r="U68" s="575" t="s">
        <v>268</v>
      </c>
      <c r="V68" s="576" t="s">
        <v>268</v>
      </c>
      <c r="W68" s="667" t="s">
        <v>312</v>
      </c>
      <c r="X68" s="668"/>
      <c r="Y68" s="668"/>
      <c r="Z68" s="668"/>
      <c r="AA68" s="668"/>
      <c r="AB68" s="668"/>
      <c r="AC68" s="668"/>
      <c r="AD68" s="668"/>
      <c r="AE68" s="669"/>
      <c r="AF68" s="658"/>
    </row>
    <row r="69" spans="2:32" ht="15.6" x14ac:dyDescent="0.25">
      <c r="B69" s="91" t="s">
        <v>268</v>
      </c>
      <c r="C69" s="596">
        <v>49</v>
      </c>
      <c r="D69" s="132">
        <v>46140</v>
      </c>
      <c r="E69" s="156">
        <v>6046</v>
      </c>
      <c r="F69" s="879">
        <v>9416</v>
      </c>
      <c r="G69" s="158">
        <f t="shared" si="23"/>
        <v>55.739331789612969</v>
      </c>
      <c r="H69" s="156">
        <v>6000</v>
      </c>
      <c r="I69" s="161">
        <f t="shared" si="24"/>
        <v>-0.76083360899768437</v>
      </c>
      <c r="J69" s="210">
        <v>1.085</v>
      </c>
      <c r="K69" s="211">
        <v>146</v>
      </c>
      <c r="L69" s="608">
        <v>3158</v>
      </c>
      <c r="M69" s="136">
        <v>0</v>
      </c>
      <c r="N69" s="164">
        <f t="shared" si="25"/>
        <v>1.7151639344262295</v>
      </c>
      <c r="O69" s="167">
        <f t="shared" si="26"/>
        <v>230.79625292740047</v>
      </c>
      <c r="P69" s="177">
        <f t="shared" si="27"/>
        <v>92.44730679156909</v>
      </c>
      <c r="Q69" s="619" t="s">
        <v>267</v>
      </c>
      <c r="R69" s="575" t="s">
        <v>268</v>
      </c>
      <c r="S69" s="575" t="s">
        <v>269</v>
      </c>
      <c r="T69" s="575" t="s">
        <v>268</v>
      </c>
      <c r="U69" s="575" t="s">
        <v>268</v>
      </c>
      <c r="V69" s="576" t="s">
        <v>268</v>
      </c>
      <c r="W69" s="667" t="s">
        <v>313</v>
      </c>
      <c r="X69" s="668"/>
      <c r="Y69" s="668"/>
      <c r="Z69" s="668"/>
      <c r="AA69" s="668"/>
      <c r="AB69" s="668"/>
      <c r="AC69" s="668"/>
      <c r="AD69" s="668"/>
      <c r="AE69" s="669"/>
      <c r="AF69" s="658"/>
    </row>
    <row r="70" spans="2:32" ht="15.6" x14ac:dyDescent="0.25">
      <c r="B70" s="91" t="s">
        <v>268</v>
      </c>
      <c r="C70" s="593">
        <v>50</v>
      </c>
      <c r="D70" s="132">
        <v>46140</v>
      </c>
      <c r="E70" s="156">
        <v>6325</v>
      </c>
      <c r="F70" s="879">
        <v>10000</v>
      </c>
      <c r="G70" s="158">
        <f t="shared" si="23"/>
        <v>58.102766798418969</v>
      </c>
      <c r="H70" s="156">
        <v>6388</v>
      </c>
      <c r="I70" s="161">
        <f t="shared" si="24"/>
        <v>0.99604743083003955</v>
      </c>
      <c r="J70" s="210">
        <v>1.163</v>
      </c>
      <c r="K70" s="211">
        <v>151</v>
      </c>
      <c r="L70" s="608">
        <v>3356</v>
      </c>
      <c r="M70" s="136">
        <v>0</v>
      </c>
      <c r="N70" s="164">
        <f t="shared" si="25"/>
        <v>1.7387043189368772</v>
      </c>
      <c r="O70" s="167">
        <f t="shared" si="26"/>
        <v>225.74750830564784</v>
      </c>
      <c r="P70" s="177">
        <f t="shared" si="27"/>
        <v>92.912513842746407</v>
      </c>
      <c r="Q70" s="619" t="s">
        <v>267</v>
      </c>
      <c r="R70" s="575" t="s">
        <v>268</v>
      </c>
      <c r="S70" s="575" t="s">
        <v>269</v>
      </c>
      <c r="T70" s="575" t="s">
        <v>268</v>
      </c>
      <c r="U70" s="575" t="s">
        <v>268</v>
      </c>
      <c r="V70" s="576" t="s">
        <v>268</v>
      </c>
      <c r="W70" s="667" t="s">
        <v>314</v>
      </c>
      <c r="X70" s="668"/>
      <c r="Y70" s="668"/>
      <c r="Z70" s="668"/>
      <c r="AA70" s="668"/>
      <c r="AB70" s="668"/>
      <c r="AC70" s="668"/>
      <c r="AD70" s="668"/>
      <c r="AE70" s="669"/>
      <c r="AF70" s="658"/>
    </row>
    <row r="71" spans="2:32" ht="15.6" x14ac:dyDescent="0.25">
      <c r="B71" s="91" t="s">
        <v>268</v>
      </c>
      <c r="C71" s="596">
        <v>51</v>
      </c>
      <c r="D71" s="132">
        <v>46141</v>
      </c>
      <c r="E71" s="156">
        <v>6660</v>
      </c>
      <c r="F71" s="879">
        <v>10502</v>
      </c>
      <c r="G71" s="158">
        <f t="shared" si="23"/>
        <v>57.687687687687685</v>
      </c>
      <c r="H71" s="156">
        <v>6458</v>
      </c>
      <c r="I71" s="161">
        <f t="shared" si="24"/>
        <v>-3.0330330330330333</v>
      </c>
      <c r="J71" s="210">
        <v>1.4330000000000001</v>
      </c>
      <c r="K71" s="211">
        <v>203</v>
      </c>
      <c r="L71" s="608">
        <v>3532</v>
      </c>
      <c r="M71" s="136">
        <v>0</v>
      </c>
      <c r="N71" s="164">
        <f t="shared" si="25"/>
        <v>1.9135014836795252</v>
      </c>
      <c r="O71" s="167">
        <f t="shared" si="26"/>
        <v>271.06824925816022</v>
      </c>
      <c r="P71" s="177">
        <f t="shared" si="27"/>
        <v>87.339268051434232</v>
      </c>
      <c r="Q71" s="619" t="s">
        <v>267</v>
      </c>
      <c r="R71" s="575" t="s">
        <v>268</v>
      </c>
      <c r="S71" s="575" t="s">
        <v>269</v>
      </c>
      <c r="T71" s="575" t="s">
        <v>268</v>
      </c>
      <c r="U71" s="575" t="s">
        <v>268</v>
      </c>
      <c r="V71" s="576" t="s">
        <v>268</v>
      </c>
      <c r="W71" s="667" t="s">
        <v>315</v>
      </c>
      <c r="X71" s="668"/>
      <c r="Y71" s="668"/>
      <c r="Z71" s="668"/>
      <c r="AA71" s="668"/>
      <c r="AB71" s="668"/>
      <c r="AC71" s="668"/>
      <c r="AD71" s="668"/>
      <c r="AE71" s="669"/>
      <c r="AF71" s="658"/>
    </row>
    <row r="72" spans="2:32" ht="15.6" x14ac:dyDescent="0.25">
      <c r="B72" s="91" t="s">
        <v>268</v>
      </c>
      <c r="C72" s="593">
        <v>52</v>
      </c>
      <c r="D72" s="132">
        <v>46141</v>
      </c>
      <c r="E72" s="156">
        <v>6900</v>
      </c>
      <c r="F72" s="879">
        <v>11508</v>
      </c>
      <c r="G72" s="158">
        <f t="shared" si="23"/>
        <v>66.782608695652186</v>
      </c>
      <c r="H72" s="156">
        <v>6948</v>
      </c>
      <c r="I72" s="161">
        <f t="shared" si="24"/>
        <v>0.69565217391304346</v>
      </c>
      <c r="J72" s="210">
        <v>1.6379999999999999</v>
      </c>
      <c r="K72" s="211">
        <v>216</v>
      </c>
      <c r="L72" s="608">
        <v>4298</v>
      </c>
      <c r="M72" s="136">
        <v>0</v>
      </c>
      <c r="N72" s="164">
        <f t="shared" si="25"/>
        <v>1.939736842105263</v>
      </c>
      <c r="O72" s="167">
        <f t="shared" si="26"/>
        <v>255.78947368421049</v>
      </c>
      <c r="P72" s="177">
        <f t="shared" si="27"/>
        <v>94.254385964912274</v>
      </c>
      <c r="Q72" s="619" t="s">
        <v>267</v>
      </c>
      <c r="R72" s="575" t="s">
        <v>268</v>
      </c>
      <c r="S72" s="575" t="s">
        <v>269</v>
      </c>
      <c r="T72" s="575" t="s">
        <v>268</v>
      </c>
      <c r="U72" s="575" t="s">
        <v>268</v>
      </c>
      <c r="V72" s="576" t="s">
        <v>268</v>
      </c>
      <c r="W72" s="667" t="s">
        <v>316</v>
      </c>
      <c r="X72" s="668"/>
      <c r="Y72" s="668"/>
      <c r="Z72" s="668"/>
      <c r="AA72" s="668"/>
      <c r="AB72" s="668"/>
      <c r="AC72" s="668"/>
      <c r="AD72" s="668"/>
      <c r="AE72" s="669"/>
      <c r="AF72" s="658"/>
    </row>
    <row r="73" spans="2:32" ht="15.6" x14ac:dyDescent="0.25">
      <c r="B73" s="91" t="s">
        <v>268</v>
      </c>
      <c r="C73" s="596">
        <v>53</v>
      </c>
      <c r="D73" s="132">
        <v>46142</v>
      </c>
      <c r="E73" s="156">
        <v>6985</v>
      </c>
      <c r="F73" s="879">
        <v>11000</v>
      </c>
      <c r="G73" s="158">
        <f t="shared" si="23"/>
        <v>57.480314960629919</v>
      </c>
      <c r="H73" s="156">
        <v>7182</v>
      </c>
      <c r="I73" s="161">
        <f t="shared" si="24"/>
        <v>2.8203292770221906</v>
      </c>
      <c r="J73" s="210">
        <v>1.196</v>
      </c>
      <c r="K73" s="211">
        <v>157</v>
      </c>
      <c r="L73" s="608">
        <v>3428</v>
      </c>
      <c r="M73" s="136">
        <v>0</v>
      </c>
      <c r="N73" s="164">
        <f t="shared" si="25"/>
        <v>1.6915662650602408</v>
      </c>
      <c r="O73" s="167">
        <f t="shared" si="26"/>
        <v>222.05343111576741</v>
      </c>
      <c r="P73" s="177">
        <f t="shared" si="27"/>
        <v>89.785227867993711</v>
      </c>
      <c r="Q73" s="619" t="s">
        <v>267</v>
      </c>
      <c r="R73" s="575" t="s">
        <v>268</v>
      </c>
      <c r="S73" s="575" t="s">
        <v>269</v>
      </c>
      <c r="T73" s="575" t="s">
        <v>268</v>
      </c>
      <c r="U73" s="575" t="s">
        <v>268</v>
      </c>
      <c r="V73" s="576" t="s">
        <v>268</v>
      </c>
      <c r="W73" s="667" t="s">
        <v>317</v>
      </c>
      <c r="X73" s="668"/>
      <c r="Y73" s="668"/>
      <c r="Z73" s="668"/>
      <c r="AA73" s="668"/>
      <c r="AB73" s="668"/>
      <c r="AC73" s="668"/>
      <c r="AD73" s="668"/>
      <c r="AE73" s="669"/>
      <c r="AF73" s="658"/>
    </row>
    <row r="74" spans="2:32" ht="15.6" x14ac:dyDescent="0.25">
      <c r="B74" s="91" t="s">
        <v>268</v>
      </c>
      <c r="C74" s="593">
        <v>54</v>
      </c>
      <c r="D74" s="132">
        <v>46142</v>
      </c>
      <c r="E74" s="156">
        <v>7500</v>
      </c>
      <c r="F74" s="879">
        <v>12000</v>
      </c>
      <c r="G74" s="158">
        <f t="shared" si="23"/>
        <v>60</v>
      </c>
      <c r="H74" s="156">
        <v>7514</v>
      </c>
      <c r="I74" s="161">
        <f t="shared" si="24"/>
        <v>0.18666666666666668</v>
      </c>
      <c r="J74" s="210">
        <v>1.581</v>
      </c>
      <c r="K74" s="211">
        <v>207</v>
      </c>
      <c r="L74" s="608">
        <v>4022</v>
      </c>
      <c r="M74" s="136">
        <v>0</v>
      </c>
      <c r="N74" s="164">
        <f t="shared" si="25"/>
        <v>1.903120820329915</v>
      </c>
      <c r="O74" s="167">
        <f t="shared" si="26"/>
        <v>249.17521176995095</v>
      </c>
      <c r="P74" s="177">
        <f t="shared" si="27"/>
        <v>89.656709763709316</v>
      </c>
      <c r="Q74" s="619" t="s">
        <v>267</v>
      </c>
      <c r="R74" s="575" t="s">
        <v>268</v>
      </c>
      <c r="S74" s="575" t="s">
        <v>269</v>
      </c>
      <c r="T74" s="575" t="s">
        <v>268</v>
      </c>
      <c r="U74" s="575" t="s">
        <v>268</v>
      </c>
      <c r="V74" s="576" t="s">
        <v>268</v>
      </c>
      <c r="W74" s="667" t="s">
        <v>318</v>
      </c>
      <c r="X74" s="668"/>
      <c r="Y74" s="668"/>
      <c r="Z74" s="668"/>
      <c r="AA74" s="668"/>
      <c r="AB74" s="668"/>
      <c r="AC74" s="668"/>
      <c r="AD74" s="668"/>
      <c r="AE74" s="669"/>
      <c r="AF74" s="658"/>
    </row>
    <row r="75" spans="2:32" ht="15.6" x14ac:dyDescent="0.25">
      <c r="B75" s="91" t="s">
        <v>268</v>
      </c>
      <c r="C75" s="596">
        <v>55</v>
      </c>
      <c r="D75" s="132">
        <v>46146</v>
      </c>
      <c r="E75" s="156">
        <v>7805</v>
      </c>
      <c r="F75" s="879">
        <v>12600</v>
      </c>
      <c r="G75" s="158">
        <f t="shared" si="23"/>
        <v>61.434977578475333</v>
      </c>
      <c r="H75" s="156">
        <v>7905</v>
      </c>
      <c r="I75" s="161">
        <f t="shared" si="24"/>
        <v>1.2812299807815504</v>
      </c>
      <c r="J75" s="210">
        <v>1.6060000000000001</v>
      </c>
      <c r="K75" s="211">
        <v>216</v>
      </c>
      <c r="L75" s="608">
        <v>4636</v>
      </c>
      <c r="M75" s="136">
        <v>0</v>
      </c>
      <c r="N75" s="164">
        <f t="shared" si="25"/>
        <v>1.8471565495207669</v>
      </c>
      <c r="O75" s="167">
        <f>+K74*(60)*H$5*1000/((G74-I74)*E74)</f>
        <v>249.17521176995095</v>
      </c>
      <c r="P75" s="177">
        <f t="shared" si="27"/>
        <v>98.743343982960596</v>
      </c>
      <c r="Q75" s="619" t="s">
        <v>267</v>
      </c>
      <c r="R75" s="575" t="s">
        <v>268</v>
      </c>
      <c r="S75" s="575" t="s">
        <v>269</v>
      </c>
      <c r="T75" s="575" t="s">
        <v>268</v>
      </c>
      <c r="U75" s="575" t="s">
        <v>268</v>
      </c>
      <c r="V75" s="576" t="s">
        <v>268</v>
      </c>
      <c r="W75" s="667" t="s">
        <v>319</v>
      </c>
      <c r="X75" s="668"/>
      <c r="Y75" s="668"/>
      <c r="Z75" s="668"/>
      <c r="AA75" s="668"/>
      <c r="AB75" s="668"/>
      <c r="AC75" s="668"/>
      <c r="AD75" s="668"/>
      <c r="AE75" s="669"/>
      <c r="AF75" s="658"/>
    </row>
    <row r="76" spans="2:32" ht="15.6" x14ac:dyDescent="0.25">
      <c r="B76" s="91" t="s">
        <v>268</v>
      </c>
      <c r="C76" s="594">
        <v>56</v>
      </c>
      <c r="D76" s="633">
        <v>46147</v>
      </c>
      <c r="E76" s="577">
        <v>8165</v>
      </c>
      <c r="F76" s="879">
        <v>13065</v>
      </c>
      <c r="G76" s="628">
        <f t="shared" si="23"/>
        <v>60.012247397428041</v>
      </c>
      <c r="H76" s="577">
        <v>8486</v>
      </c>
      <c r="I76" s="578">
        <f t="shared" si="24"/>
        <v>3.9314145744029396</v>
      </c>
      <c r="J76" s="579">
        <v>1.5249999999999999</v>
      </c>
      <c r="K76" s="580">
        <v>213</v>
      </c>
      <c r="L76" s="609">
        <v>3166</v>
      </c>
      <c r="M76" s="581">
        <v>0</v>
      </c>
      <c r="N76" s="582">
        <f t="shared" si="25"/>
        <v>1.7984276042804106</v>
      </c>
      <c r="O76" s="583">
        <f t="shared" si="26"/>
        <v>251.19021620441146</v>
      </c>
      <c r="P76" s="584">
        <f t="shared" si="27"/>
        <v>69.141734003057437</v>
      </c>
      <c r="Q76" s="621" t="s">
        <v>267</v>
      </c>
      <c r="R76" s="622" t="s">
        <v>268</v>
      </c>
      <c r="S76" s="622" t="s">
        <v>269</v>
      </c>
      <c r="T76" s="622" t="s">
        <v>268</v>
      </c>
      <c r="U76" s="622" t="s">
        <v>268</v>
      </c>
      <c r="V76" s="623" t="s">
        <v>268</v>
      </c>
      <c r="W76" s="670" t="s">
        <v>320</v>
      </c>
      <c r="X76" s="671"/>
      <c r="Y76" s="671"/>
      <c r="Z76" s="671"/>
      <c r="AA76" s="671"/>
      <c r="AB76" s="671"/>
      <c r="AC76" s="671"/>
      <c r="AD76" s="671"/>
      <c r="AE76" s="672"/>
      <c r="AF76" s="658"/>
    </row>
    <row r="77" spans="2:32" ht="15.6" x14ac:dyDescent="0.25">
      <c r="B77" s="91" t="s">
        <v>268</v>
      </c>
      <c r="C77" s="596">
        <v>57</v>
      </c>
      <c r="D77" s="132">
        <v>46148</v>
      </c>
      <c r="E77" s="156">
        <v>8530</v>
      </c>
      <c r="F77" s="879">
        <v>13565</v>
      </c>
      <c r="G77" s="158">
        <f t="shared" si="23"/>
        <v>59.026963657678778</v>
      </c>
      <c r="H77" s="156">
        <v>8340</v>
      </c>
      <c r="I77" s="161">
        <f t="shared" si="24"/>
        <v>-2.2274325908558033</v>
      </c>
      <c r="J77" s="210">
        <v>1.62</v>
      </c>
      <c r="K77" s="211">
        <v>203</v>
      </c>
      <c r="L77" s="608">
        <v>4958</v>
      </c>
      <c r="M77" s="136">
        <v>0</v>
      </c>
      <c r="N77" s="164">
        <f t="shared" si="25"/>
        <v>1.6742583732057419</v>
      </c>
      <c r="O77" s="167">
        <f t="shared" si="26"/>
        <v>209.79904306220095</v>
      </c>
      <c r="P77" s="177">
        <f t="shared" si="27"/>
        <v>94.889952153110045</v>
      </c>
      <c r="Q77" s="619" t="s">
        <v>267</v>
      </c>
      <c r="R77" s="575" t="s">
        <v>268</v>
      </c>
      <c r="S77" s="575" t="s">
        <v>269</v>
      </c>
      <c r="T77" s="575" t="s">
        <v>268</v>
      </c>
      <c r="U77" s="575" t="s">
        <v>268</v>
      </c>
      <c r="V77" s="576" t="s">
        <v>268</v>
      </c>
      <c r="W77" s="667" t="s">
        <v>321</v>
      </c>
      <c r="X77" s="668"/>
      <c r="Y77" s="668"/>
      <c r="Z77" s="668"/>
      <c r="AA77" s="668"/>
      <c r="AB77" s="668"/>
      <c r="AC77" s="668"/>
      <c r="AD77" s="668"/>
      <c r="AE77" s="669"/>
      <c r="AF77" s="658"/>
    </row>
    <row r="78" spans="2:32" ht="15.6" x14ac:dyDescent="0.25">
      <c r="B78" s="91" t="s">
        <v>268</v>
      </c>
      <c r="C78" s="593">
        <v>58</v>
      </c>
      <c r="D78" s="132">
        <v>46148</v>
      </c>
      <c r="E78" s="156">
        <v>8720</v>
      </c>
      <c r="F78" s="879">
        <v>14085</v>
      </c>
      <c r="G78" s="158">
        <f t="shared" si="23"/>
        <v>61.52522935779816</v>
      </c>
      <c r="H78" s="156">
        <v>8845</v>
      </c>
      <c r="I78" s="161">
        <f t="shared" si="24"/>
        <v>1.4334862385321101</v>
      </c>
      <c r="J78" s="210">
        <v>1.643</v>
      </c>
      <c r="K78" s="211">
        <v>203</v>
      </c>
      <c r="L78" s="608">
        <v>4800</v>
      </c>
      <c r="M78" s="136">
        <v>0</v>
      </c>
      <c r="N78" s="164">
        <f t="shared" si="25"/>
        <v>1.6931679389312979</v>
      </c>
      <c r="O78" s="167">
        <f t="shared" si="26"/>
        <v>209.19847328244276</v>
      </c>
      <c r="P78" s="177">
        <f t="shared" si="27"/>
        <v>91.603053435114504</v>
      </c>
      <c r="Q78" s="619" t="s">
        <v>267</v>
      </c>
      <c r="R78" s="575" t="s">
        <v>268</v>
      </c>
      <c r="S78" s="575" t="s">
        <v>269</v>
      </c>
      <c r="T78" s="575" t="s">
        <v>268</v>
      </c>
      <c r="U78" s="575" t="s">
        <v>268</v>
      </c>
      <c r="V78" s="576" t="s">
        <v>268</v>
      </c>
      <c r="W78" s="667" t="s">
        <v>322</v>
      </c>
      <c r="X78" s="668"/>
      <c r="Y78" s="668"/>
      <c r="Z78" s="668"/>
      <c r="AA78" s="668"/>
      <c r="AB78" s="668"/>
      <c r="AC78" s="668"/>
      <c r="AD78" s="668"/>
      <c r="AE78" s="669"/>
      <c r="AF78" s="658"/>
    </row>
    <row r="79" spans="2:32" s="872" customFormat="1" ht="17.25" customHeight="1" x14ac:dyDescent="0.25">
      <c r="B79" s="872" t="s">
        <v>268</v>
      </c>
      <c r="C79" s="854">
        <v>59</v>
      </c>
      <c r="D79" s="855">
        <v>46149</v>
      </c>
      <c r="E79" s="856">
        <v>4412</v>
      </c>
      <c r="F79" s="879">
        <v>6614</v>
      </c>
      <c r="G79" s="858">
        <f>(+(F79-E79)/E79*100)</f>
        <v>49.90933816863101</v>
      </c>
      <c r="H79" s="856">
        <v>4324</v>
      </c>
      <c r="I79" s="859">
        <f>(+(H79-E79)/E79*100)</f>
        <v>-1.9945602901178603</v>
      </c>
      <c r="J79" s="860">
        <v>0.84299999999999997</v>
      </c>
      <c r="K79" s="857">
        <v>120</v>
      </c>
      <c r="L79" s="861">
        <v>2156</v>
      </c>
      <c r="M79" s="862">
        <v>0</v>
      </c>
      <c r="N79" s="863">
        <f>+J79*((60)*H$5*1000/((G79-I79)*E79))</f>
        <v>1.9878602620087338</v>
      </c>
      <c r="O79" s="864">
        <f>+K79*(60)*H$5*1000/((G79-I79)*E79)</f>
        <v>282.96943231441048</v>
      </c>
      <c r="P79" s="865">
        <f>+L79/(F79-H79)*100</f>
        <v>94.148471615720524</v>
      </c>
      <c r="Q79" s="866" t="s">
        <v>267</v>
      </c>
      <c r="R79" s="867" t="s">
        <v>268</v>
      </c>
      <c r="S79" s="867" t="s">
        <v>269</v>
      </c>
      <c r="T79" s="867" t="s">
        <v>268</v>
      </c>
      <c r="U79" s="867" t="s">
        <v>268</v>
      </c>
      <c r="V79" s="868" t="s">
        <v>268</v>
      </c>
      <c r="W79" s="869" t="s">
        <v>324</v>
      </c>
      <c r="X79" s="870"/>
      <c r="Y79" s="870"/>
      <c r="Z79" s="870"/>
      <c r="AA79" s="870"/>
      <c r="AB79" s="870"/>
      <c r="AC79" s="870"/>
      <c r="AD79" s="870"/>
      <c r="AE79" s="871"/>
    </row>
    <row r="80" spans="2:32" ht="15.6" x14ac:dyDescent="0.25">
      <c r="B80" s="91" t="s">
        <v>268</v>
      </c>
      <c r="C80" s="596">
        <v>60</v>
      </c>
      <c r="D80" s="132">
        <v>46149</v>
      </c>
      <c r="E80" s="630">
        <v>5040</v>
      </c>
      <c r="F80" s="880">
        <v>7720</v>
      </c>
      <c r="G80" s="158">
        <f t="shared" ref="G80:G94" si="28">(+(F80-E80)/E80*100)</f>
        <v>53.174603174603178</v>
      </c>
      <c r="H80" s="630">
        <v>5086</v>
      </c>
      <c r="I80" s="161">
        <f t="shared" ref="I80:I94" si="29">(+(H80-E80)/E80*100)</f>
        <v>0.91269841269841279</v>
      </c>
      <c r="J80" s="635">
        <v>0.90800000000000003</v>
      </c>
      <c r="K80" s="636">
        <v>122</v>
      </c>
      <c r="L80" s="637">
        <v>2470</v>
      </c>
      <c r="M80" s="136">
        <v>0</v>
      </c>
      <c r="N80" s="164">
        <f t="shared" ref="N80:N94" si="30">+J80*((60)*H$5*1000/((G80-I80)*E80))</f>
        <v>1.8615034168564923</v>
      </c>
      <c r="O80" s="167">
        <f t="shared" ref="O80:O94" si="31">+K80*(60)*H$5*1000/((G80-I80)*E80)</f>
        <v>250.11389521640092</v>
      </c>
      <c r="P80" s="177">
        <f t="shared" ref="P80:P94" si="32">+L80/(F80-H80)*100</f>
        <v>93.77372817008353</v>
      </c>
      <c r="Q80" s="619" t="s">
        <v>267</v>
      </c>
      <c r="R80" s="575" t="s">
        <v>268</v>
      </c>
      <c r="S80" s="575" t="s">
        <v>269</v>
      </c>
      <c r="T80" s="575" t="s">
        <v>268</v>
      </c>
      <c r="U80" s="575" t="s">
        <v>268</v>
      </c>
      <c r="V80" s="576" t="s">
        <v>268</v>
      </c>
      <c r="W80" s="667" t="s">
        <v>323</v>
      </c>
      <c r="X80" s="668"/>
      <c r="Y80" s="668"/>
      <c r="Z80" s="668"/>
      <c r="AA80" s="668"/>
      <c r="AB80" s="668"/>
      <c r="AC80" s="668"/>
      <c r="AD80" s="668"/>
      <c r="AE80" s="669"/>
      <c r="AF80" s="660"/>
    </row>
    <row r="81" spans="2:32" ht="15.6" x14ac:dyDescent="0.25">
      <c r="B81" s="91" t="s">
        <v>268</v>
      </c>
      <c r="C81" s="593">
        <v>61</v>
      </c>
      <c r="D81" s="132">
        <v>46150</v>
      </c>
      <c r="E81" s="624">
        <v>310</v>
      </c>
      <c r="F81" s="881">
        <v>660</v>
      </c>
      <c r="G81" s="158">
        <f t="shared" si="28"/>
        <v>112.90322580645163</v>
      </c>
      <c r="H81" s="624">
        <v>296</v>
      </c>
      <c r="I81" s="161">
        <f t="shared" si="29"/>
        <v>-4.5161290322580641</v>
      </c>
      <c r="J81" s="625">
        <v>0.33481</v>
      </c>
      <c r="K81" s="626">
        <v>58</v>
      </c>
      <c r="L81" s="627">
        <v>268</v>
      </c>
      <c r="M81" s="136">
        <v>0</v>
      </c>
      <c r="N81" s="164">
        <f t="shared" si="30"/>
        <v>4.9669615384615371</v>
      </c>
      <c r="O81" s="167">
        <f t="shared" si="31"/>
        <v>860.4395604395603</v>
      </c>
      <c r="P81" s="177">
        <f t="shared" si="32"/>
        <v>73.626373626373635</v>
      </c>
      <c r="Q81" s="619" t="s">
        <v>267</v>
      </c>
      <c r="R81" s="575" t="s">
        <v>268</v>
      </c>
      <c r="S81" s="575" t="s">
        <v>269</v>
      </c>
      <c r="T81" s="575" t="s">
        <v>268</v>
      </c>
      <c r="U81" s="575" t="s">
        <v>268</v>
      </c>
      <c r="V81" s="576" t="s">
        <v>268</v>
      </c>
      <c r="W81" s="667" t="s">
        <v>326</v>
      </c>
      <c r="X81" s="668"/>
      <c r="Y81" s="668"/>
      <c r="Z81" s="668"/>
      <c r="AA81" s="668"/>
      <c r="AB81" s="668"/>
      <c r="AC81" s="668"/>
      <c r="AD81" s="668"/>
      <c r="AE81" s="669"/>
      <c r="AF81" s="660"/>
    </row>
    <row r="82" spans="2:32" ht="15.6" x14ac:dyDescent="0.25">
      <c r="B82" s="91" t="s">
        <v>268</v>
      </c>
      <c r="C82" s="596">
        <v>62</v>
      </c>
      <c r="D82" s="132">
        <v>46150</v>
      </c>
      <c r="E82" s="624">
        <v>722</v>
      </c>
      <c r="F82" s="882">
        <v>1124</v>
      </c>
      <c r="G82" s="158">
        <f t="shared" si="28"/>
        <v>55.678670360110807</v>
      </c>
      <c r="H82" s="624">
        <v>722</v>
      </c>
      <c r="I82" s="161">
        <f t="shared" si="29"/>
        <v>0</v>
      </c>
      <c r="J82" s="625">
        <v>0.22631999999999999</v>
      </c>
      <c r="K82" s="626">
        <v>39</v>
      </c>
      <c r="L82" s="627">
        <v>296</v>
      </c>
      <c r="M82" s="136">
        <v>0</v>
      </c>
      <c r="N82" s="164">
        <f t="shared" si="30"/>
        <v>3.0401194029850749</v>
      </c>
      <c r="O82" s="167">
        <f t="shared" si="31"/>
        <v>523.88059701492534</v>
      </c>
      <c r="P82" s="177">
        <f t="shared" si="32"/>
        <v>73.631840796019901</v>
      </c>
      <c r="Q82" s="619" t="s">
        <v>267</v>
      </c>
      <c r="R82" s="575" t="s">
        <v>268</v>
      </c>
      <c r="S82" s="575" t="s">
        <v>269</v>
      </c>
      <c r="T82" s="575" t="s">
        <v>268</v>
      </c>
      <c r="U82" s="575" t="s">
        <v>268</v>
      </c>
      <c r="V82" s="576" t="s">
        <v>268</v>
      </c>
      <c r="W82" s="667" t="s">
        <v>327</v>
      </c>
      <c r="X82" s="668"/>
      <c r="Y82" s="668"/>
      <c r="Z82" s="668"/>
      <c r="AA82" s="668"/>
      <c r="AB82" s="668"/>
      <c r="AC82" s="668"/>
      <c r="AD82" s="668"/>
      <c r="AE82" s="669"/>
      <c r="AF82" s="660"/>
    </row>
    <row r="83" spans="2:32" s="658" customFormat="1" ht="15.6" x14ac:dyDescent="0.25">
      <c r="B83" s="658" t="s">
        <v>268</v>
      </c>
      <c r="C83" s="893">
        <v>63</v>
      </c>
      <c r="D83" s="894">
        <v>46150</v>
      </c>
      <c r="E83" s="895">
        <v>962</v>
      </c>
      <c r="F83" s="896">
        <v>1530</v>
      </c>
      <c r="G83" s="897">
        <f t="shared" si="28"/>
        <v>59.043659043659048</v>
      </c>
      <c r="H83" s="895">
        <v>964</v>
      </c>
      <c r="I83" s="898">
        <f t="shared" si="29"/>
        <v>0.20790020790020791</v>
      </c>
      <c r="J83" s="899">
        <v>0.29693000000000003</v>
      </c>
      <c r="K83" s="896">
        <v>49</v>
      </c>
      <c r="L83" s="900">
        <v>504</v>
      </c>
      <c r="M83" s="901">
        <v>0</v>
      </c>
      <c r="N83" s="902">
        <f t="shared" si="30"/>
        <v>2.8329010600706717</v>
      </c>
      <c r="O83" s="903">
        <f t="shared" si="31"/>
        <v>467.49116607773851</v>
      </c>
      <c r="P83" s="904">
        <f t="shared" si="32"/>
        <v>89.045936395759711</v>
      </c>
      <c r="Q83" s="905" t="s">
        <v>267</v>
      </c>
      <c r="R83" s="906" t="s">
        <v>268</v>
      </c>
      <c r="S83" s="906" t="s">
        <v>269</v>
      </c>
      <c r="T83" s="906" t="s">
        <v>268</v>
      </c>
      <c r="U83" s="906" t="s">
        <v>268</v>
      </c>
      <c r="V83" s="907" t="s">
        <v>268</v>
      </c>
      <c r="W83" s="908" t="s">
        <v>328</v>
      </c>
      <c r="X83" s="909"/>
      <c r="Y83" s="909"/>
      <c r="Z83" s="909"/>
      <c r="AA83" s="909"/>
      <c r="AB83" s="909"/>
      <c r="AC83" s="909"/>
      <c r="AD83" s="909"/>
      <c r="AE83" s="910"/>
    </row>
    <row r="84" spans="2:32" s="658" customFormat="1" ht="15.6" x14ac:dyDescent="0.25">
      <c r="B84" s="658" t="s">
        <v>268</v>
      </c>
      <c r="C84" s="911">
        <v>64</v>
      </c>
      <c r="D84" s="894">
        <v>46150</v>
      </c>
      <c r="E84" s="895">
        <v>3178</v>
      </c>
      <c r="F84" s="896">
        <v>5080</v>
      </c>
      <c r="G84" s="897">
        <f>(+(F84-E84)/E84*100)</f>
        <v>59.848961611076149</v>
      </c>
      <c r="H84" s="895">
        <v>3065</v>
      </c>
      <c r="I84" s="898">
        <f t="shared" si="29"/>
        <v>-3.55569540591567</v>
      </c>
      <c r="J84" s="899">
        <v>0.83399999999999996</v>
      </c>
      <c r="K84" s="896">
        <v>116</v>
      </c>
      <c r="L84" s="900">
        <v>1830</v>
      </c>
      <c r="M84" s="901">
        <v>0</v>
      </c>
      <c r="N84" s="902">
        <f t="shared" si="30"/>
        <v>2.2350372208436724</v>
      </c>
      <c r="O84" s="903">
        <f t="shared" si="31"/>
        <v>310.86848635235731</v>
      </c>
      <c r="P84" s="904">
        <f t="shared" si="32"/>
        <v>90.818858560794041</v>
      </c>
      <c r="Q84" s="905" t="s">
        <v>267</v>
      </c>
      <c r="R84" s="906" t="s">
        <v>268</v>
      </c>
      <c r="S84" s="906" t="s">
        <v>269</v>
      </c>
      <c r="T84" s="906" t="s">
        <v>268</v>
      </c>
      <c r="U84" s="906" t="s">
        <v>268</v>
      </c>
      <c r="V84" s="907" t="s">
        <v>268</v>
      </c>
      <c r="W84" s="908" t="s">
        <v>329</v>
      </c>
      <c r="X84" s="909"/>
      <c r="Y84" s="909"/>
      <c r="Z84" s="909"/>
      <c r="AA84" s="909"/>
      <c r="AB84" s="909"/>
      <c r="AC84" s="909"/>
      <c r="AD84" s="909"/>
      <c r="AE84" s="910"/>
    </row>
    <row r="85" spans="2:32" ht="15.6" x14ac:dyDescent="0.25">
      <c r="B85" s="91" t="s">
        <v>268</v>
      </c>
      <c r="C85" s="596">
        <v>65</v>
      </c>
      <c r="D85" s="132">
        <v>46153</v>
      </c>
      <c r="E85" s="624">
        <v>2840</v>
      </c>
      <c r="F85" s="882">
        <v>4404</v>
      </c>
      <c r="G85" s="158">
        <f>(+(F85-E85)/E85*100)</f>
        <v>55.070422535211272</v>
      </c>
      <c r="H85" s="624">
        <v>2796</v>
      </c>
      <c r="I85" s="161">
        <f t="shared" si="29"/>
        <v>-1.5492957746478873</v>
      </c>
      <c r="J85" s="625">
        <v>0.66300000000000003</v>
      </c>
      <c r="K85" s="626">
        <v>98</v>
      </c>
      <c r="L85" s="627">
        <v>1594</v>
      </c>
      <c r="M85" s="136">
        <v>0</v>
      </c>
      <c r="N85" s="164">
        <f t="shared" si="30"/>
        <v>2.2264925373134332</v>
      </c>
      <c r="O85" s="167">
        <f t="shared" si="31"/>
        <v>329.1044776119403</v>
      </c>
      <c r="P85" s="177">
        <f>+L85/(F85-H85)*100</f>
        <v>99.129353233830841</v>
      </c>
      <c r="Q85" s="619" t="s">
        <v>267</v>
      </c>
      <c r="R85" s="575" t="s">
        <v>268</v>
      </c>
      <c r="S85" s="575" t="s">
        <v>269</v>
      </c>
      <c r="T85" s="575" t="s">
        <v>268</v>
      </c>
      <c r="U85" s="575" t="s">
        <v>268</v>
      </c>
      <c r="V85" s="576" t="s">
        <v>268</v>
      </c>
      <c r="W85" s="667"/>
      <c r="X85" s="668"/>
      <c r="Y85" s="668"/>
      <c r="Z85" s="668"/>
      <c r="AA85" s="668"/>
      <c r="AB85" s="668"/>
      <c r="AC85" s="668"/>
      <c r="AD85" s="668"/>
      <c r="AE85" s="669"/>
      <c r="AF85" s="660"/>
    </row>
    <row r="86" spans="2:32" ht="15.6" x14ac:dyDescent="0.25">
      <c r="B86" s="91" t="s">
        <v>268</v>
      </c>
      <c r="C86" s="596">
        <v>66</v>
      </c>
      <c r="D86" s="132">
        <v>46154</v>
      </c>
      <c r="E86" s="624">
        <v>1680</v>
      </c>
      <c r="F86" s="882">
        <v>2940</v>
      </c>
      <c r="G86" s="158">
        <f>(+(F86-E86)/E86*100)</f>
        <v>75</v>
      </c>
      <c r="H86" s="624">
        <v>1660</v>
      </c>
      <c r="I86" s="161">
        <f t="shared" si="29"/>
        <v>-1.1904761904761905</v>
      </c>
      <c r="J86" s="625">
        <v>0.56299999999999994</v>
      </c>
      <c r="K86" s="626">
        <v>85</v>
      </c>
      <c r="L86" s="627">
        <v>1146</v>
      </c>
      <c r="M86" s="136">
        <v>0</v>
      </c>
      <c r="N86" s="164">
        <f t="shared" si="30"/>
        <v>2.3751562499999999</v>
      </c>
      <c r="O86" s="167">
        <f t="shared" si="31"/>
        <v>358.59375</v>
      </c>
      <c r="P86" s="177">
        <f>+L86/(F86-H86)*100</f>
        <v>89.53125</v>
      </c>
      <c r="Q86" s="619" t="s">
        <v>267</v>
      </c>
      <c r="R86" s="575" t="s">
        <v>268</v>
      </c>
      <c r="S86" s="575" t="s">
        <v>269</v>
      </c>
      <c r="T86" s="575" t="s">
        <v>268</v>
      </c>
      <c r="U86" s="575" t="s">
        <v>268</v>
      </c>
      <c r="V86" s="576" t="s">
        <v>268</v>
      </c>
      <c r="W86" s="667"/>
      <c r="X86" s="668"/>
      <c r="Y86" s="668"/>
      <c r="Z86" s="668"/>
      <c r="AA86" s="668"/>
      <c r="AB86" s="668"/>
      <c r="AC86" s="668"/>
      <c r="AD86" s="668"/>
      <c r="AE86" s="669"/>
      <c r="AF86" s="660"/>
    </row>
    <row r="87" spans="2:32" ht="15.6" x14ac:dyDescent="0.25">
      <c r="B87" s="91" t="s">
        <v>268</v>
      </c>
      <c r="C87" s="593">
        <v>67</v>
      </c>
      <c r="D87" s="132">
        <v>46154</v>
      </c>
      <c r="E87" s="624">
        <v>1025</v>
      </c>
      <c r="F87" s="882">
        <v>1690</v>
      </c>
      <c r="G87" s="158">
        <f t="shared" si="28"/>
        <v>64.878048780487802</v>
      </c>
      <c r="H87" s="624">
        <v>1055</v>
      </c>
      <c r="I87" s="161">
        <f t="shared" si="29"/>
        <v>2.9268292682926833</v>
      </c>
      <c r="J87" s="625">
        <v>0.32499</v>
      </c>
      <c r="K87" s="626">
        <v>55</v>
      </c>
      <c r="L87" s="627">
        <v>536</v>
      </c>
      <c r="M87" s="136">
        <v>0</v>
      </c>
      <c r="N87" s="164">
        <f t="shared" si="30"/>
        <v>2.7636944881889769</v>
      </c>
      <c r="O87" s="167">
        <f t="shared" si="31"/>
        <v>467.71653543307093</v>
      </c>
      <c r="P87" s="177">
        <f t="shared" si="32"/>
        <v>84.40944881889763</v>
      </c>
      <c r="Q87" s="619" t="s">
        <v>267</v>
      </c>
      <c r="R87" s="575" t="s">
        <v>268</v>
      </c>
      <c r="S87" s="575" t="s">
        <v>269</v>
      </c>
      <c r="T87" s="575" t="s">
        <v>268</v>
      </c>
      <c r="U87" s="575" t="s">
        <v>268</v>
      </c>
      <c r="V87" s="576" t="s">
        <v>268</v>
      </c>
      <c r="W87" s="667" t="s">
        <v>330</v>
      </c>
      <c r="X87" s="668"/>
      <c r="Y87" s="668"/>
      <c r="Z87" s="668"/>
      <c r="AA87" s="668"/>
      <c r="AB87" s="668"/>
      <c r="AC87" s="668"/>
      <c r="AD87" s="668"/>
      <c r="AE87" s="669"/>
      <c r="AF87" s="660"/>
    </row>
    <row r="88" spans="2:32" ht="15.6" x14ac:dyDescent="0.25">
      <c r="B88" s="91" t="s">
        <v>268</v>
      </c>
      <c r="C88" s="596">
        <v>68</v>
      </c>
      <c r="D88" s="132">
        <v>46155</v>
      </c>
      <c r="E88" s="624">
        <v>6850</v>
      </c>
      <c r="F88" s="882">
        <v>10550</v>
      </c>
      <c r="G88" s="158">
        <f t="shared" si="28"/>
        <v>54.014598540145982</v>
      </c>
      <c r="H88" s="662"/>
      <c r="I88" s="161">
        <f t="shared" si="29"/>
        <v>-100</v>
      </c>
      <c r="J88" s="625"/>
      <c r="K88" s="626" t="s">
        <v>335</v>
      </c>
      <c r="L88" s="627"/>
      <c r="M88" s="136">
        <v>0</v>
      </c>
      <c r="N88" s="164">
        <f t="shared" si="30"/>
        <v>0</v>
      </c>
      <c r="O88" s="167" t="e">
        <f t="shared" si="31"/>
        <v>#VALUE!</v>
      </c>
      <c r="P88" s="177">
        <f t="shared" si="32"/>
        <v>0</v>
      </c>
      <c r="Q88" s="619" t="s">
        <v>267</v>
      </c>
      <c r="R88" s="575" t="s">
        <v>268</v>
      </c>
      <c r="S88" s="575" t="s">
        <v>269</v>
      </c>
      <c r="T88" s="575" t="s">
        <v>268</v>
      </c>
      <c r="U88" s="575" t="s">
        <v>268</v>
      </c>
      <c r="V88" s="576" t="s">
        <v>268</v>
      </c>
      <c r="W88" s="667" t="s">
        <v>331</v>
      </c>
      <c r="X88" s="668"/>
      <c r="Y88" s="668"/>
      <c r="Z88" s="668"/>
      <c r="AA88" s="668"/>
      <c r="AB88" s="668"/>
      <c r="AC88" s="668"/>
      <c r="AD88" s="668"/>
      <c r="AE88" s="669"/>
      <c r="AF88" s="660"/>
    </row>
    <row r="89" spans="2:32" ht="15.6" x14ac:dyDescent="0.25">
      <c r="B89" s="91" t="s">
        <v>268</v>
      </c>
      <c r="C89" s="596">
        <v>69</v>
      </c>
      <c r="D89" s="132">
        <v>46155</v>
      </c>
      <c r="E89" s="624">
        <v>3890</v>
      </c>
      <c r="F89" s="882">
        <v>6375</v>
      </c>
      <c r="G89" s="158">
        <f t="shared" si="28"/>
        <v>63.881748071979437</v>
      </c>
      <c r="H89" s="662"/>
      <c r="I89" s="161">
        <f t="shared" si="29"/>
        <v>-100</v>
      </c>
      <c r="J89" s="625"/>
      <c r="K89" s="626" t="s">
        <v>333</v>
      </c>
      <c r="L89" s="627"/>
      <c r="M89" s="136">
        <v>0</v>
      </c>
      <c r="N89" s="164">
        <f t="shared" si="30"/>
        <v>0</v>
      </c>
      <c r="O89" s="167" t="e">
        <f t="shared" si="31"/>
        <v>#VALUE!</v>
      </c>
      <c r="P89" s="177">
        <f t="shared" si="32"/>
        <v>0</v>
      </c>
      <c r="Q89" s="619" t="s">
        <v>267</v>
      </c>
      <c r="R89" s="575" t="s">
        <v>268</v>
      </c>
      <c r="S89" s="575" t="s">
        <v>269</v>
      </c>
      <c r="T89" s="575" t="s">
        <v>268</v>
      </c>
      <c r="U89" s="575" t="s">
        <v>268</v>
      </c>
      <c r="V89" s="576" t="s">
        <v>268</v>
      </c>
      <c r="W89" s="667" t="s">
        <v>332</v>
      </c>
      <c r="X89" s="668"/>
      <c r="Y89" s="668"/>
      <c r="Z89" s="668"/>
      <c r="AA89" s="668"/>
      <c r="AB89" s="668"/>
      <c r="AC89" s="668"/>
      <c r="AD89" s="668"/>
      <c r="AE89" s="669"/>
      <c r="AF89" s="660"/>
    </row>
    <row r="90" spans="2:32" ht="15.6" x14ac:dyDescent="0.25">
      <c r="B90" s="91" t="s">
        <v>268</v>
      </c>
      <c r="C90" s="593">
        <v>70</v>
      </c>
      <c r="D90" s="132">
        <v>46155</v>
      </c>
      <c r="E90" s="624">
        <v>8106</v>
      </c>
      <c r="F90" s="882">
        <v>12820</v>
      </c>
      <c r="G90" s="158">
        <f t="shared" si="28"/>
        <v>58.154453491241057</v>
      </c>
      <c r="H90" s="662"/>
      <c r="I90" s="161">
        <f t="shared" si="29"/>
        <v>-100</v>
      </c>
      <c r="J90" s="625"/>
      <c r="K90" s="626" t="s">
        <v>333</v>
      </c>
      <c r="L90" s="627"/>
      <c r="M90" s="136">
        <v>0</v>
      </c>
      <c r="N90" s="164">
        <f t="shared" si="30"/>
        <v>0</v>
      </c>
      <c r="O90" s="167" t="e">
        <f t="shared" si="31"/>
        <v>#VALUE!</v>
      </c>
      <c r="P90" s="177">
        <f t="shared" si="32"/>
        <v>0</v>
      </c>
      <c r="Q90" s="619" t="s">
        <v>267</v>
      </c>
      <c r="R90" s="575" t="s">
        <v>268</v>
      </c>
      <c r="S90" s="575" t="s">
        <v>269</v>
      </c>
      <c r="T90" s="575" t="s">
        <v>268</v>
      </c>
      <c r="U90" s="575" t="s">
        <v>268</v>
      </c>
      <c r="V90" s="576" t="s">
        <v>268</v>
      </c>
      <c r="W90" s="667" t="s">
        <v>332</v>
      </c>
      <c r="X90" s="668"/>
      <c r="Y90" s="668"/>
      <c r="Z90" s="668"/>
      <c r="AA90" s="668"/>
      <c r="AB90" s="668"/>
      <c r="AC90" s="668"/>
      <c r="AD90" s="668"/>
      <c r="AE90" s="669"/>
      <c r="AF90" s="660"/>
    </row>
    <row r="91" spans="2:32" ht="15.6" x14ac:dyDescent="0.25">
      <c r="B91" s="91" t="s">
        <v>268</v>
      </c>
      <c r="C91" s="596">
        <v>71</v>
      </c>
      <c r="D91" s="132">
        <v>46157</v>
      </c>
      <c r="E91" s="624">
        <v>1544</v>
      </c>
      <c r="F91" s="882">
        <v>2478</v>
      </c>
      <c r="G91" s="158">
        <f t="shared" si="28"/>
        <v>60.492227979274617</v>
      </c>
      <c r="H91" s="662">
        <v>1538</v>
      </c>
      <c r="I91" s="161">
        <f t="shared" si="29"/>
        <v>-0.38860103626943004</v>
      </c>
      <c r="J91" s="625">
        <v>0.42699999999999999</v>
      </c>
      <c r="K91" s="626" t="s">
        <v>336</v>
      </c>
      <c r="L91" s="627">
        <v>940</v>
      </c>
      <c r="M91" s="136">
        <v>0</v>
      </c>
      <c r="N91" s="164">
        <f t="shared" si="30"/>
        <v>2.4529787234042555</v>
      </c>
      <c r="O91" s="167" t="e">
        <f t="shared" si="31"/>
        <v>#VALUE!</v>
      </c>
      <c r="P91" s="177">
        <f t="shared" si="32"/>
        <v>100</v>
      </c>
      <c r="Q91" s="619" t="s">
        <v>267</v>
      </c>
      <c r="R91" s="575" t="s">
        <v>268</v>
      </c>
      <c r="S91" s="575" t="s">
        <v>269</v>
      </c>
      <c r="T91" s="575" t="s">
        <v>268</v>
      </c>
      <c r="U91" s="575" t="s">
        <v>268</v>
      </c>
      <c r="V91" s="576" t="s">
        <v>268</v>
      </c>
      <c r="W91" s="667" t="s">
        <v>334</v>
      </c>
      <c r="X91" s="668"/>
      <c r="Y91" s="668"/>
      <c r="Z91" s="668"/>
      <c r="AA91" s="668"/>
      <c r="AB91" s="668"/>
      <c r="AC91" s="668"/>
      <c r="AD91" s="668"/>
      <c r="AE91" s="669"/>
      <c r="AF91" s="660"/>
    </row>
    <row r="92" spans="2:32" ht="16.5" customHeight="1" x14ac:dyDescent="0.25">
      <c r="B92" s="91" t="s">
        <v>268</v>
      </c>
      <c r="C92" s="596">
        <v>72</v>
      </c>
      <c r="D92" s="132">
        <v>46157</v>
      </c>
      <c r="E92" s="624">
        <v>2236</v>
      </c>
      <c r="F92" s="882">
        <v>3648</v>
      </c>
      <c r="G92" s="158">
        <f t="shared" si="28"/>
        <v>63.148479427549198</v>
      </c>
      <c r="H92" s="662"/>
      <c r="I92" s="161">
        <f t="shared" si="29"/>
        <v>-100</v>
      </c>
      <c r="J92" s="625"/>
      <c r="K92" s="626" t="s">
        <v>333</v>
      </c>
      <c r="L92" s="627"/>
      <c r="M92" s="136">
        <v>0</v>
      </c>
      <c r="N92" s="164">
        <f t="shared" si="30"/>
        <v>0</v>
      </c>
      <c r="O92" s="167" t="e">
        <f t="shared" si="31"/>
        <v>#VALUE!</v>
      </c>
      <c r="P92" s="177">
        <f t="shared" si="32"/>
        <v>0</v>
      </c>
      <c r="Q92" s="619" t="s">
        <v>267</v>
      </c>
      <c r="R92" s="575" t="s">
        <v>268</v>
      </c>
      <c r="S92" s="575" t="s">
        <v>269</v>
      </c>
      <c r="T92" s="575" t="s">
        <v>268</v>
      </c>
      <c r="U92" s="575" t="s">
        <v>268</v>
      </c>
      <c r="V92" s="576" t="s">
        <v>268</v>
      </c>
      <c r="W92" s="667" t="s">
        <v>338</v>
      </c>
      <c r="X92" s="668"/>
      <c r="Y92" s="668"/>
      <c r="Z92" s="668"/>
      <c r="AA92" s="668"/>
      <c r="AB92" s="668"/>
      <c r="AC92" s="668"/>
      <c r="AD92" s="668"/>
      <c r="AE92" s="669"/>
      <c r="AF92" s="660"/>
    </row>
    <row r="93" spans="2:32" ht="15.6" x14ac:dyDescent="0.25">
      <c r="C93" s="593">
        <v>73</v>
      </c>
      <c r="D93" s="132">
        <v>46157</v>
      </c>
      <c r="E93" s="624">
        <v>2570</v>
      </c>
      <c r="F93" s="882"/>
      <c r="G93" s="158">
        <f t="shared" si="28"/>
        <v>-100</v>
      </c>
      <c r="H93" s="662"/>
      <c r="I93" s="161">
        <f t="shared" si="29"/>
        <v>-100</v>
      </c>
      <c r="J93" s="625"/>
      <c r="K93" s="626"/>
      <c r="L93" s="627"/>
      <c r="M93" s="136">
        <v>0</v>
      </c>
      <c r="N93" s="164" t="e">
        <f t="shared" si="30"/>
        <v>#DIV/0!</v>
      </c>
      <c r="O93" s="167" t="e">
        <f t="shared" si="31"/>
        <v>#DIV/0!</v>
      </c>
      <c r="P93" s="177" t="e">
        <f t="shared" si="32"/>
        <v>#DIV/0!</v>
      </c>
      <c r="Q93" s="619" t="s">
        <v>267</v>
      </c>
      <c r="R93" s="575" t="s">
        <v>268</v>
      </c>
      <c r="S93" s="575" t="s">
        <v>269</v>
      </c>
      <c r="T93" s="575" t="s">
        <v>268</v>
      </c>
      <c r="U93" s="575" t="s">
        <v>268</v>
      </c>
      <c r="V93" s="576" t="s">
        <v>268</v>
      </c>
      <c r="W93" s="667" t="s">
        <v>337</v>
      </c>
      <c r="X93" s="668"/>
      <c r="Y93" s="668"/>
      <c r="Z93" s="668"/>
      <c r="AA93" s="668"/>
      <c r="AB93" s="668"/>
      <c r="AC93" s="668"/>
      <c r="AD93" s="668"/>
      <c r="AE93" s="669"/>
      <c r="AF93" s="660"/>
    </row>
    <row r="94" spans="2:32" ht="16.2" thickBot="1" x14ac:dyDescent="0.3">
      <c r="C94" s="641">
        <v>74</v>
      </c>
      <c r="D94" s="137"/>
      <c r="E94" s="607"/>
      <c r="F94" s="883"/>
      <c r="G94" s="159" t="e">
        <f t="shared" si="28"/>
        <v>#DIV/0!</v>
      </c>
      <c r="H94" s="663"/>
      <c r="I94" s="162" t="e">
        <f t="shared" si="29"/>
        <v>#DIV/0!</v>
      </c>
      <c r="J94" s="614"/>
      <c r="K94" s="615"/>
      <c r="L94" s="616"/>
      <c r="M94" s="141">
        <v>0</v>
      </c>
      <c r="N94" s="165" t="e">
        <f t="shared" si="30"/>
        <v>#DIV/0!</v>
      </c>
      <c r="O94" s="168" t="e">
        <f t="shared" si="31"/>
        <v>#DIV/0!</v>
      </c>
      <c r="P94" s="178" t="e">
        <f t="shared" si="32"/>
        <v>#DIV/0!</v>
      </c>
      <c r="Q94" s="638" t="s">
        <v>267</v>
      </c>
      <c r="R94" s="639" t="s">
        <v>268</v>
      </c>
      <c r="S94" s="639" t="s">
        <v>269</v>
      </c>
      <c r="T94" s="639" t="s">
        <v>268</v>
      </c>
      <c r="U94" s="639" t="s">
        <v>268</v>
      </c>
      <c r="V94" s="640" t="s">
        <v>268</v>
      </c>
      <c r="W94" s="667"/>
      <c r="X94" s="668"/>
      <c r="Y94" s="668"/>
      <c r="Z94" s="668"/>
      <c r="AA94" s="668"/>
      <c r="AB94" s="668"/>
      <c r="AC94" s="668"/>
      <c r="AD94" s="668"/>
      <c r="AE94" s="669"/>
    </row>
    <row r="95" spans="2:32" ht="13.8" thickBot="1" x14ac:dyDescent="0.3">
      <c r="W95" s="664"/>
      <c r="X95" s="665"/>
      <c r="Y95" s="665"/>
      <c r="Z95" s="665"/>
      <c r="AA95" s="665"/>
      <c r="AB95" s="665"/>
      <c r="AC95" s="665"/>
      <c r="AD95" s="665"/>
      <c r="AE95" s="666"/>
    </row>
    <row r="97" spans="1:241" ht="16.5" customHeight="1" x14ac:dyDescent="0.25">
      <c r="U97" s="131"/>
      <c r="V97" s="131"/>
      <c r="W97" s="131"/>
    </row>
    <row r="98" spans="1:241" x14ac:dyDescent="0.25">
      <c r="C98" s="91" t="s">
        <v>59</v>
      </c>
      <c r="E98" s="171">
        <f>AVERAGE(E21:E32)</f>
        <v>4349.583333333333</v>
      </c>
      <c r="F98" s="884">
        <f>AVERAGE(F21:F94)</f>
        <v>6845.4861111111113</v>
      </c>
      <c r="G98" s="174">
        <f>AVERAGE(G21:G32)</f>
        <v>60.36349165516706</v>
      </c>
      <c r="H98" s="171">
        <f>AVERAGE(H21:H94)</f>
        <v>4282.8235294117649</v>
      </c>
      <c r="I98" s="174">
        <f>AVERAGE(I21:I32)</f>
        <v>0.98095555620329744</v>
      </c>
      <c r="J98" s="169">
        <f>AVERAGE(J21:J94)</f>
        <v>0.90402323529411743</v>
      </c>
      <c r="K98" s="171">
        <f>AVERAGE(K21:K94)</f>
        <v>124.19402985074628</v>
      </c>
      <c r="L98" s="175">
        <f>AVERAGE(L21:L94)</f>
        <v>2282</v>
      </c>
      <c r="M98" s="142">
        <v>0</v>
      </c>
      <c r="N98" s="169">
        <f>AVERAGE(N21:N32)</f>
        <v>2.1801718470805027</v>
      </c>
      <c r="O98" s="171">
        <f>AVERAGE(O21:O32)</f>
        <v>307.30847966794613</v>
      </c>
      <c r="P98" s="172">
        <f>AVERAGE(P21:P32)</f>
        <v>86.91822152615849</v>
      </c>
      <c r="U98" s="131"/>
    </row>
    <row r="99" spans="1:241" x14ac:dyDescent="0.25">
      <c r="C99" s="91" t="s">
        <v>60</v>
      </c>
      <c r="E99" s="170">
        <f>STDEV(E21:E32)</f>
        <v>2690.4253958446907</v>
      </c>
      <c r="F99" s="885">
        <f>STDEV(F21:F94)</f>
        <v>4139.6149068807317</v>
      </c>
      <c r="G99" s="170">
        <f>STDEV(G21:G32)</f>
        <v>5.7505764512487367</v>
      </c>
      <c r="H99" s="170">
        <f>STDEV(H21:H94)</f>
        <v>2684.447762443674</v>
      </c>
      <c r="I99" s="170">
        <f>STDEV(I21:I32)</f>
        <v>5.484601416516484</v>
      </c>
      <c r="J99" s="170">
        <f>STDEV(J21:J94)</f>
        <v>0.45766437709745789</v>
      </c>
      <c r="K99" s="170">
        <f>STDEV(K21:K94)</f>
        <v>54.483869952761239</v>
      </c>
      <c r="L99" s="173">
        <f>STDEV(L21:L94)</f>
        <v>1383.5237727812075</v>
      </c>
      <c r="M99" s="143">
        <v>0</v>
      </c>
      <c r="N99" s="170">
        <f>STDEV(N21:N32)</f>
        <v>0.70047469453227817</v>
      </c>
      <c r="O99" s="170">
        <f>STDEV(O21:O32)</f>
        <v>131.9326446484809</v>
      </c>
      <c r="P99" s="173">
        <f>STDEV(P21:P32)</f>
        <v>28.114681742641626</v>
      </c>
      <c r="U99" s="131"/>
      <c r="V99" s="131"/>
      <c r="W99" s="131"/>
      <c r="X99" s="131"/>
      <c r="Y99" s="131"/>
      <c r="Z99" s="131"/>
    </row>
    <row r="100" spans="1:241" x14ac:dyDescent="0.25">
      <c r="U100" s="131"/>
      <c r="V100" s="131"/>
      <c r="W100" s="131"/>
      <c r="X100" s="131"/>
      <c r="Y100" s="131"/>
      <c r="Z100" s="131"/>
    </row>
    <row r="101" spans="1:241" x14ac:dyDescent="0.25">
      <c r="U101" s="131"/>
      <c r="V101" s="131"/>
      <c r="W101" s="131"/>
      <c r="X101" s="131"/>
      <c r="Y101" s="131"/>
      <c r="Z101" s="131"/>
    </row>
    <row r="102" spans="1:241" ht="13.8" x14ac:dyDescent="0.25">
      <c r="D102" s="207" t="s">
        <v>61</v>
      </c>
      <c r="U102" s="131"/>
      <c r="V102" s="131"/>
      <c r="W102" s="131"/>
      <c r="X102" s="131"/>
      <c r="Y102" s="131"/>
      <c r="Z102" s="131"/>
    </row>
    <row r="103" spans="1:241" ht="13.8" thickBot="1" x14ac:dyDescent="0.3">
      <c r="N103" s="144"/>
      <c r="O103" s="144"/>
      <c r="U103" s="131"/>
      <c r="V103" s="131"/>
      <c r="W103" s="131"/>
      <c r="X103" s="131"/>
      <c r="Y103" s="131"/>
      <c r="Z103" s="131"/>
    </row>
    <row r="104" spans="1:241" ht="13.8" thickBot="1" x14ac:dyDescent="0.3">
      <c r="E104" s="717" t="s">
        <v>46</v>
      </c>
      <c r="F104" s="718"/>
      <c r="G104" s="718"/>
      <c r="H104" s="719" t="s">
        <v>47</v>
      </c>
      <c r="I104" s="718"/>
      <c r="J104" s="718"/>
      <c r="K104" s="718"/>
      <c r="L104" s="718"/>
      <c r="M104" s="718"/>
      <c r="N104" s="718"/>
      <c r="O104" s="718"/>
      <c r="P104" s="720"/>
      <c r="U104" s="131"/>
      <c r="V104" s="131"/>
      <c r="W104" s="104"/>
      <c r="X104" s="104"/>
      <c r="Y104" s="104"/>
      <c r="Z104" s="104"/>
      <c r="AA104" s="104"/>
      <c r="AB104" s="104"/>
      <c r="AC104" s="104"/>
    </row>
    <row r="105" spans="1:241" ht="13.8" thickBot="1" x14ac:dyDescent="0.3">
      <c r="C105" s="112"/>
      <c r="D105" s="113"/>
      <c r="E105" s="714" t="s">
        <v>48</v>
      </c>
      <c r="F105" s="715"/>
      <c r="G105" s="716"/>
      <c r="H105" s="714" t="s">
        <v>49</v>
      </c>
      <c r="I105" s="715"/>
      <c r="J105" s="715"/>
      <c r="K105" s="715"/>
      <c r="L105" s="716"/>
      <c r="M105" s="714" t="s">
        <v>50</v>
      </c>
      <c r="N105" s="715"/>
      <c r="O105" s="715"/>
      <c r="P105" s="716"/>
      <c r="U105" s="131"/>
      <c r="V105" s="131"/>
      <c r="W105" s="104"/>
      <c r="X105" s="104"/>
      <c r="Y105" s="104"/>
      <c r="Z105" s="104"/>
      <c r="AA105" s="104"/>
      <c r="AB105" s="104"/>
      <c r="AC105" s="104"/>
    </row>
    <row r="106" spans="1:241" ht="14.4" customHeight="1" x14ac:dyDescent="0.25">
      <c r="A106" s="93"/>
      <c r="B106" s="93"/>
      <c r="C106" s="114" t="s">
        <v>1</v>
      </c>
      <c r="D106" s="115" t="s">
        <v>51</v>
      </c>
      <c r="E106" s="116" t="s">
        <v>52</v>
      </c>
      <c r="F106" s="877" t="s">
        <v>53</v>
      </c>
      <c r="G106" s="118" t="s">
        <v>54</v>
      </c>
      <c r="H106" s="116" t="s">
        <v>55</v>
      </c>
      <c r="I106" s="117" t="s">
        <v>85</v>
      </c>
      <c r="J106" s="120" t="s">
        <v>7</v>
      </c>
      <c r="K106" s="117" t="s">
        <v>56</v>
      </c>
      <c r="L106" s="115" t="s">
        <v>57</v>
      </c>
      <c r="M106" s="116" t="s">
        <v>58</v>
      </c>
      <c r="N106" s="117" t="s">
        <v>7</v>
      </c>
      <c r="O106" s="117" t="s">
        <v>56</v>
      </c>
      <c r="P106" s="115" t="s">
        <v>57</v>
      </c>
      <c r="Q106" s="220" t="s">
        <v>29</v>
      </c>
      <c r="R106" s="254" t="s">
        <v>155</v>
      </c>
      <c r="S106" s="681" t="s">
        <v>158</v>
      </c>
      <c r="T106" s="681" t="s">
        <v>165</v>
      </c>
      <c r="U106" s="681" t="s">
        <v>166</v>
      </c>
      <c r="V106" s="679" t="s">
        <v>167</v>
      </c>
      <c r="W106" s="683" t="s">
        <v>168</v>
      </c>
      <c r="X106" s="684"/>
      <c r="Y106" s="684"/>
      <c r="Z106" s="684"/>
      <c r="AA106" s="684"/>
      <c r="AB106" s="684"/>
      <c r="AC106" s="684"/>
      <c r="AD106" s="684"/>
      <c r="AE106" s="685"/>
      <c r="AG106" s="93"/>
      <c r="AH106" s="93"/>
      <c r="AI106" s="93"/>
      <c r="AJ106" s="93"/>
      <c r="AK106" s="93"/>
      <c r="AL106" s="93"/>
      <c r="AM106" s="93"/>
      <c r="AN106" s="93"/>
      <c r="AO106" s="93"/>
      <c r="AP106" s="93"/>
      <c r="AQ106" s="93"/>
      <c r="AR106" s="93"/>
      <c r="AS106" s="93"/>
      <c r="AT106" s="93"/>
      <c r="AU106" s="93"/>
      <c r="AV106" s="93"/>
      <c r="AW106" s="93"/>
      <c r="AX106" s="93"/>
      <c r="AY106" s="93"/>
      <c r="AZ106" s="93"/>
      <c r="BA106" s="93"/>
      <c r="BB106" s="93"/>
      <c r="BC106" s="93"/>
      <c r="BD106" s="93"/>
      <c r="BE106" s="93"/>
      <c r="BF106" s="93"/>
      <c r="BG106" s="93"/>
      <c r="BH106" s="93"/>
      <c r="BI106" s="93"/>
      <c r="BJ106" s="93"/>
      <c r="BK106" s="93"/>
      <c r="BL106" s="93"/>
      <c r="BM106" s="93"/>
      <c r="BN106" s="93"/>
      <c r="BO106" s="93"/>
      <c r="BP106" s="93"/>
      <c r="BQ106" s="93"/>
      <c r="BR106" s="93"/>
      <c r="BS106" s="93"/>
      <c r="BT106" s="93"/>
      <c r="BU106" s="93"/>
      <c r="BV106" s="93"/>
      <c r="BW106" s="93"/>
      <c r="BX106" s="93"/>
      <c r="BY106" s="93"/>
      <c r="BZ106" s="93"/>
      <c r="CA106" s="93"/>
      <c r="CB106" s="93"/>
      <c r="CC106" s="93"/>
      <c r="CD106" s="93"/>
      <c r="CE106" s="93"/>
      <c r="CF106" s="93"/>
      <c r="CG106" s="93"/>
      <c r="CH106" s="93"/>
      <c r="CI106" s="93"/>
      <c r="CJ106" s="93"/>
      <c r="CK106" s="93"/>
      <c r="CL106" s="93"/>
      <c r="CM106" s="93"/>
      <c r="CN106" s="93"/>
      <c r="CO106" s="93"/>
      <c r="CP106" s="93"/>
      <c r="CQ106" s="93"/>
      <c r="CR106" s="93"/>
      <c r="CS106" s="93"/>
      <c r="CT106" s="93"/>
      <c r="CU106" s="93"/>
      <c r="CV106" s="93"/>
      <c r="CW106" s="93"/>
      <c r="CX106" s="93"/>
      <c r="CY106" s="93"/>
      <c r="CZ106" s="93"/>
      <c r="DA106" s="93"/>
      <c r="DB106" s="93"/>
      <c r="DC106" s="93"/>
      <c r="DD106" s="93"/>
      <c r="DE106" s="93"/>
      <c r="DF106" s="93"/>
      <c r="DG106" s="93"/>
      <c r="DH106" s="93"/>
      <c r="DI106" s="93"/>
      <c r="DJ106" s="93"/>
      <c r="DK106" s="93"/>
      <c r="DL106" s="93"/>
      <c r="DM106" s="93"/>
      <c r="DN106" s="93"/>
      <c r="DO106" s="93"/>
      <c r="DP106" s="93"/>
      <c r="DQ106" s="93"/>
      <c r="DR106" s="93"/>
      <c r="DS106" s="93"/>
      <c r="DT106" s="93"/>
      <c r="DU106" s="93"/>
      <c r="DV106" s="93"/>
      <c r="DW106" s="93"/>
      <c r="DX106" s="93"/>
      <c r="DY106" s="93"/>
      <c r="DZ106" s="93"/>
      <c r="EA106" s="93"/>
      <c r="EB106" s="93"/>
      <c r="EC106" s="93"/>
      <c r="ED106" s="93"/>
      <c r="EE106" s="93"/>
      <c r="EF106" s="93"/>
      <c r="EG106" s="93"/>
      <c r="EH106" s="93"/>
      <c r="EI106" s="93"/>
      <c r="EJ106" s="93"/>
      <c r="EK106" s="93"/>
      <c r="EL106" s="93"/>
      <c r="EM106" s="93"/>
      <c r="EN106" s="93"/>
      <c r="EO106" s="93"/>
      <c r="EP106" s="93"/>
      <c r="EQ106" s="93"/>
      <c r="ER106" s="93"/>
      <c r="ES106" s="93"/>
      <c r="ET106" s="93"/>
      <c r="EU106" s="93"/>
      <c r="EV106" s="93"/>
      <c r="EW106" s="93"/>
      <c r="EX106" s="93"/>
      <c r="EY106" s="93"/>
      <c r="EZ106" s="93"/>
      <c r="FA106" s="93"/>
      <c r="FB106" s="93"/>
      <c r="FC106" s="93"/>
      <c r="FD106" s="93"/>
      <c r="FE106" s="93"/>
      <c r="FF106" s="93"/>
      <c r="FG106" s="93"/>
      <c r="FH106" s="93"/>
      <c r="FI106" s="93"/>
      <c r="FJ106" s="93"/>
      <c r="FK106" s="93"/>
      <c r="FL106" s="93"/>
      <c r="FM106" s="93"/>
      <c r="FN106" s="93"/>
      <c r="FO106" s="93"/>
      <c r="FP106" s="93"/>
      <c r="FQ106" s="93"/>
      <c r="FR106" s="93"/>
      <c r="FS106" s="93"/>
      <c r="FT106" s="93"/>
      <c r="FU106" s="93"/>
      <c r="FV106" s="93"/>
      <c r="FW106" s="93"/>
      <c r="FX106" s="93"/>
      <c r="FY106" s="93"/>
      <c r="FZ106" s="93"/>
      <c r="GA106" s="93"/>
      <c r="GB106" s="93"/>
      <c r="GC106" s="93"/>
      <c r="GD106" s="93"/>
      <c r="GE106" s="93"/>
      <c r="GF106" s="93"/>
      <c r="GG106" s="93"/>
      <c r="GH106" s="93"/>
      <c r="GI106" s="93"/>
      <c r="GJ106" s="93"/>
      <c r="GK106" s="93"/>
      <c r="GL106" s="93"/>
      <c r="GM106" s="93"/>
      <c r="GN106" s="93"/>
      <c r="GO106" s="93"/>
      <c r="GP106" s="93"/>
      <c r="GQ106" s="93"/>
      <c r="GR106" s="93"/>
      <c r="GS106" s="93"/>
      <c r="GT106" s="93"/>
      <c r="GU106" s="93"/>
      <c r="GV106" s="93"/>
      <c r="GW106" s="93"/>
      <c r="GX106" s="93"/>
      <c r="GY106" s="93"/>
      <c r="GZ106" s="93"/>
      <c r="HA106" s="93"/>
      <c r="HB106" s="93"/>
      <c r="HC106" s="93"/>
      <c r="HD106" s="93"/>
      <c r="HE106" s="93"/>
      <c r="HF106" s="93"/>
      <c r="HG106" s="93"/>
      <c r="HH106" s="93"/>
      <c r="HI106" s="93"/>
      <c r="HJ106" s="93"/>
      <c r="HK106" s="93"/>
      <c r="HL106" s="93"/>
      <c r="HM106" s="93"/>
      <c r="HN106" s="93"/>
      <c r="HO106" s="93"/>
      <c r="HP106" s="93"/>
      <c r="HQ106" s="93"/>
      <c r="HR106" s="93"/>
      <c r="HS106" s="93"/>
      <c r="HT106" s="93"/>
      <c r="HU106" s="93"/>
      <c r="HV106" s="93"/>
      <c r="HW106" s="93"/>
      <c r="HX106" s="93"/>
      <c r="HY106" s="93"/>
      <c r="HZ106" s="93"/>
      <c r="IA106" s="93"/>
      <c r="IB106" s="93"/>
      <c r="IC106" s="93"/>
      <c r="ID106" s="93"/>
      <c r="IE106" s="93"/>
      <c r="IF106" s="93"/>
      <c r="IG106" s="93"/>
    </row>
    <row r="107" spans="1:241" ht="15" customHeight="1" thickBot="1" x14ac:dyDescent="0.3">
      <c r="A107" s="93"/>
      <c r="C107" s="121"/>
      <c r="D107" s="122"/>
      <c r="E107" s="123" t="s">
        <v>3</v>
      </c>
      <c r="F107" s="886" t="s">
        <v>3</v>
      </c>
      <c r="G107" s="125" t="s">
        <v>2</v>
      </c>
      <c r="H107" s="123" t="s">
        <v>3</v>
      </c>
      <c r="I107" s="126" t="s">
        <v>2</v>
      </c>
      <c r="J107" s="124" t="s">
        <v>4</v>
      </c>
      <c r="K107" s="124" t="s">
        <v>5</v>
      </c>
      <c r="L107" s="125" t="s">
        <v>3</v>
      </c>
      <c r="M107" s="123" t="s">
        <v>2</v>
      </c>
      <c r="N107" s="124" t="s">
        <v>4</v>
      </c>
      <c r="O107" s="124" t="s">
        <v>5</v>
      </c>
      <c r="P107" s="125" t="s">
        <v>2</v>
      </c>
      <c r="Q107" s="221" t="s">
        <v>86</v>
      </c>
      <c r="R107" s="249" t="s">
        <v>156</v>
      </c>
      <c r="S107" s="682"/>
      <c r="T107" s="682"/>
      <c r="U107" s="682"/>
      <c r="V107" s="680"/>
      <c r="W107" s="686"/>
      <c r="X107" s="687"/>
      <c r="Y107" s="687"/>
      <c r="Z107" s="687"/>
      <c r="AA107" s="687"/>
      <c r="AB107" s="687"/>
      <c r="AC107" s="687"/>
      <c r="AD107" s="687"/>
      <c r="AE107" s="688"/>
    </row>
    <row r="108" spans="1:241" ht="15.6" x14ac:dyDescent="0.25">
      <c r="C108" s="145">
        <v>1</v>
      </c>
      <c r="D108" s="225"/>
      <c r="E108" s="155"/>
      <c r="F108" s="887"/>
      <c r="G108" s="157" t="e">
        <f>(+(F108-E108)/E108*100)</f>
        <v>#DIV/0!</v>
      </c>
      <c r="H108" s="155"/>
      <c r="I108" s="160" t="e">
        <f>(+(H108-E108)/E108*100)</f>
        <v>#DIV/0!</v>
      </c>
      <c r="J108" s="128"/>
      <c r="K108" s="127"/>
      <c r="L108" s="129"/>
      <c r="M108" s="130">
        <v>0</v>
      </c>
      <c r="N108" s="163" t="e">
        <f>+J108*((60)*H$5/2*1000/((G108-I108)*E108))</f>
        <v>#DIV/0!</v>
      </c>
      <c r="O108" s="166" t="e">
        <f>+K108*(60)*H$5/2*1000/((G108-I108)*E108)</f>
        <v>#DIV/0!</v>
      </c>
      <c r="P108" s="176" t="e">
        <f>+L108/(F108-H108)*100</f>
        <v>#DIV/0!</v>
      </c>
      <c r="Q108" s="222"/>
      <c r="R108" s="247"/>
      <c r="S108" s="247"/>
      <c r="T108" s="247"/>
      <c r="U108" s="247"/>
      <c r="V108" s="265"/>
      <c r="W108" s="689"/>
      <c r="X108" s="690"/>
      <c r="Y108" s="690"/>
      <c r="Z108" s="690"/>
      <c r="AA108" s="690"/>
      <c r="AB108" s="690"/>
      <c r="AC108" s="690"/>
      <c r="AD108" s="690"/>
      <c r="AE108" s="691"/>
    </row>
    <row r="109" spans="1:241" ht="15.6" x14ac:dyDescent="0.25">
      <c r="C109" s="146">
        <v>2</v>
      </c>
      <c r="D109" s="132"/>
      <c r="E109" s="156"/>
      <c r="F109" s="879"/>
      <c r="G109" s="158" t="str">
        <f>IF(E109="","",(+(F109-E109)/E109*100))</f>
        <v/>
      </c>
      <c r="H109" s="156"/>
      <c r="I109" s="161" t="str">
        <f>IF(E109="","",(+(H109-E109)/E109*100))</f>
        <v/>
      </c>
      <c r="J109" s="128"/>
      <c r="K109" s="134"/>
      <c r="L109" s="135"/>
      <c r="M109" s="136">
        <v>0</v>
      </c>
      <c r="N109" s="164" t="str">
        <f>IF(E109="","",(+J109*((60)*H$5/2*1000/((G109-I109)*E109))))</f>
        <v/>
      </c>
      <c r="O109" s="167" t="str">
        <f>IF(E109="","",(+K109*(60)*H$5/2*1000/((G109-I109)*E109)))</f>
        <v/>
      </c>
      <c r="P109" s="177" t="str">
        <f>IF(E109="","",(+L109/(F109-H109)*100))</f>
        <v/>
      </c>
      <c r="Q109" s="223"/>
      <c r="R109" s="248"/>
      <c r="S109" s="248"/>
      <c r="T109" s="248"/>
      <c r="U109" s="248"/>
      <c r="V109" s="266"/>
      <c r="W109" s="673"/>
      <c r="X109" s="674"/>
      <c r="Y109" s="674"/>
      <c r="Z109" s="674"/>
      <c r="AA109" s="674"/>
      <c r="AB109" s="674"/>
      <c r="AC109" s="674"/>
      <c r="AD109" s="674"/>
      <c r="AE109" s="675"/>
    </row>
    <row r="110" spans="1:241" ht="15.6" x14ac:dyDescent="0.25">
      <c r="A110" s="97"/>
      <c r="C110" s="146">
        <v>3</v>
      </c>
      <c r="D110" s="132"/>
      <c r="E110" s="133"/>
      <c r="F110" s="888"/>
      <c r="G110" s="158" t="str">
        <f>IF(E110="","",(+(F110-E110)/E110*100))</f>
        <v/>
      </c>
      <c r="H110" s="133"/>
      <c r="I110" s="161" t="str">
        <f>IF(E110="","",(+(H110-E110)/E110*100))</f>
        <v/>
      </c>
      <c r="J110" s="128"/>
      <c r="K110" s="134"/>
      <c r="L110" s="135"/>
      <c r="M110" s="136">
        <v>0</v>
      </c>
      <c r="N110" s="164" t="str">
        <f>IF(E110="","",(+J110*((60)*H$5/2*1000/((G110-I110)*E110))))</f>
        <v/>
      </c>
      <c r="O110" s="167" t="str">
        <f>IF(E110="","",(+K110*(60)*H$5/2*1000/((G110-I110)*E110)))</f>
        <v/>
      </c>
      <c r="P110" s="177" t="str">
        <f>IF(E110="","",(+L110/(F110-H110)*100))</f>
        <v/>
      </c>
      <c r="Q110" s="223"/>
      <c r="R110" s="250"/>
      <c r="S110" s="248"/>
      <c r="T110" s="250"/>
      <c r="U110" s="250"/>
      <c r="V110" s="267"/>
      <c r="W110" s="673"/>
      <c r="X110" s="674"/>
      <c r="Y110" s="674"/>
      <c r="Z110" s="674"/>
      <c r="AA110" s="674"/>
      <c r="AB110" s="674"/>
      <c r="AC110" s="674"/>
      <c r="AD110" s="674"/>
      <c r="AE110" s="675"/>
    </row>
    <row r="111" spans="1:241" ht="16.2" thickBot="1" x14ac:dyDescent="0.3">
      <c r="A111" s="97"/>
      <c r="C111" s="147">
        <v>4</v>
      </c>
      <c r="D111" s="137"/>
      <c r="E111" s="138"/>
      <c r="F111" s="889"/>
      <c r="G111" s="159" t="str">
        <f>IF(E111="","",(+(F111-E111)/E111*100))</f>
        <v/>
      </c>
      <c r="H111" s="138"/>
      <c r="I111" s="162" t="str">
        <f>IF(E111="","",(+(H111-E111)/E111*100))</f>
        <v/>
      </c>
      <c r="J111" s="148"/>
      <c r="K111" s="139"/>
      <c r="L111" s="140"/>
      <c r="M111" s="141">
        <v>0</v>
      </c>
      <c r="N111" s="165" t="str">
        <f>IF(E111="","",(+J111*((60)*H$5/2*1000/((G111-I111)*E111))))</f>
        <v/>
      </c>
      <c r="O111" s="168" t="str">
        <f>IF(E111="","",(+K111*(60)*H$5/2*1000/((G111-I111)*E111)))</f>
        <v/>
      </c>
      <c r="P111" s="178" t="str">
        <f>IF(E111="","",(+L111/(F111-H111)*100))</f>
        <v/>
      </c>
      <c r="Q111" s="224"/>
      <c r="R111" s="246"/>
      <c r="S111" s="253"/>
      <c r="T111" s="246"/>
      <c r="U111" s="246"/>
      <c r="V111" s="264"/>
      <c r="W111" s="676"/>
      <c r="X111" s="677"/>
      <c r="Y111" s="677"/>
      <c r="Z111" s="677"/>
      <c r="AA111" s="677"/>
      <c r="AB111" s="677"/>
      <c r="AC111" s="677"/>
      <c r="AD111" s="677"/>
      <c r="AE111" s="678"/>
    </row>
    <row r="112" spans="1:241" x14ac:dyDescent="0.25">
      <c r="H112" s="149" t="s">
        <v>0</v>
      </c>
      <c r="R112" s="150"/>
      <c r="S112" s="150"/>
      <c r="T112" s="150"/>
    </row>
    <row r="113" spans="3:20" x14ac:dyDescent="0.25">
      <c r="C113" s="91" t="s">
        <v>59</v>
      </c>
      <c r="E113" s="171" t="e">
        <f t="shared" ref="E113:L113" si="33">AVERAGE(E108:E111)</f>
        <v>#DIV/0!</v>
      </c>
      <c r="F113" s="890" t="e">
        <f t="shared" si="33"/>
        <v>#DIV/0!</v>
      </c>
      <c r="G113" s="179" t="e">
        <f t="shared" si="33"/>
        <v>#DIV/0!</v>
      </c>
      <c r="H113" s="179" t="e">
        <f t="shared" si="33"/>
        <v>#DIV/0!</v>
      </c>
      <c r="I113" s="180" t="e">
        <f t="shared" si="33"/>
        <v>#DIV/0!</v>
      </c>
      <c r="J113" s="181" t="e">
        <f t="shared" si="33"/>
        <v>#DIV/0!</v>
      </c>
      <c r="K113" s="179" t="e">
        <f t="shared" si="33"/>
        <v>#DIV/0!</v>
      </c>
      <c r="L113" s="182" t="e">
        <f t="shared" si="33"/>
        <v>#DIV/0!</v>
      </c>
      <c r="M113" s="142">
        <v>0</v>
      </c>
      <c r="N113" s="183" t="e">
        <f>AVERAGE(N108:N111)</f>
        <v>#DIV/0!</v>
      </c>
      <c r="O113" s="179" t="e">
        <f>AVERAGE(O108:O111)</f>
        <v>#DIV/0!</v>
      </c>
      <c r="P113" s="184" t="e">
        <f>AVERAGE(P108:P111)</f>
        <v>#DIV/0!</v>
      </c>
      <c r="R113" s="150"/>
      <c r="S113" s="150"/>
      <c r="T113" s="150"/>
    </row>
    <row r="114" spans="3:20" x14ac:dyDescent="0.25">
      <c r="C114" s="91" t="s">
        <v>60</v>
      </c>
      <c r="E114" s="170" t="e">
        <f>STDEV(E108:E111)</f>
        <v>#DIV/0!</v>
      </c>
      <c r="F114" s="885" t="e">
        <f t="shared" ref="F114:L114" si="34">STDEV(F108:F111)</f>
        <v>#DIV/0!</v>
      </c>
      <c r="G114" s="170" t="e">
        <f t="shared" si="34"/>
        <v>#DIV/0!</v>
      </c>
      <c r="H114" s="170" t="e">
        <f t="shared" si="34"/>
        <v>#DIV/0!</v>
      </c>
      <c r="I114" s="170" t="e">
        <f t="shared" si="34"/>
        <v>#DIV/0!</v>
      </c>
      <c r="J114" s="170" t="e">
        <f t="shared" si="34"/>
        <v>#DIV/0!</v>
      </c>
      <c r="K114" s="170" t="e">
        <f t="shared" si="34"/>
        <v>#DIV/0!</v>
      </c>
      <c r="L114" s="173" t="e">
        <f t="shared" si="34"/>
        <v>#DIV/0!</v>
      </c>
      <c r="M114" s="143">
        <v>0</v>
      </c>
      <c r="N114" s="185" t="e">
        <f>STDEV(N108:N111)</f>
        <v>#DIV/0!</v>
      </c>
      <c r="O114" s="186" t="e">
        <f t="shared" ref="O114:P114" si="35">STDEV(O108:O111)</f>
        <v>#DIV/0!</v>
      </c>
      <c r="P114" s="186" t="e">
        <f t="shared" si="35"/>
        <v>#DIV/0!</v>
      </c>
    </row>
    <row r="116" spans="3:20" x14ac:dyDescent="0.25">
      <c r="N116" s="103"/>
      <c r="O116" s="103"/>
    </row>
    <row r="117" spans="3:20" ht="13.8" thickBot="1" x14ac:dyDescent="0.3">
      <c r="N117" s="698" t="s">
        <v>120</v>
      </c>
      <c r="O117" s="698"/>
      <c r="P117" s="698" t="s">
        <v>121</v>
      </c>
      <c r="Q117" s="698"/>
    </row>
    <row r="118" spans="3:20" ht="13.8" thickBot="1" x14ac:dyDescent="0.3">
      <c r="D118" s="151" t="s">
        <v>63</v>
      </c>
      <c r="E118" s="152"/>
      <c r="F118" s="891"/>
      <c r="G118" s="187" t="e">
        <f>AVERAGE(I21:I32,I108:I111) /100</f>
        <v>#DIV/0!</v>
      </c>
      <c r="H118" s="153"/>
      <c r="N118" s="188" t="str">
        <f>IF(M5="","",M5)</f>
        <v>C</v>
      </c>
      <c r="O118" s="189" t="e">
        <f>IF(N118="A",'Summary of results'!E37,IF(N118="B",'Summary of results'!E38,IF(N118="C",'Summary of results'!E39,IF(N118="D",'Summary of results'!E40,IF(N118="E",'Summary of results'!E41,IF(N118="F",'Summary of results'!E42,""))))))</f>
        <v>#DIV/0!</v>
      </c>
      <c r="P118" s="188" t="str">
        <f>IF(L5="","",L5)</f>
        <v>A+++</v>
      </c>
      <c r="Q118" s="189" t="e">
        <f>IF(P118="A+++",'Summary of results'!M37,IF(P118="A++",'Summary of results'!M38,IF(P118="A+",'Summary of results'!M39,IF(P118="A",'Summary of results'!M40,IF(P118="B",'Summary of results'!M41,IF(P118="C",'Summary of results'!M42,""))))))</f>
        <v>#DIV/0!</v>
      </c>
    </row>
    <row r="119" spans="3:20" ht="13.8" thickBot="1" x14ac:dyDescent="0.3">
      <c r="N119" s="190" t="s">
        <v>68</v>
      </c>
      <c r="O119" s="191" t="e">
        <f>+'Summary of results'!J25/100</f>
        <v>#DIV/0!</v>
      </c>
      <c r="P119" s="190" t="s">
        <v>68</v>
      </c>
      <c r="Q119" s="191" t="e">
        <f>+'Summary of results'!K25/100</f>
        <v>#DIV/0!</v>
      </c>
    </row>
    <row r="120" spans="3:20" ht="13.8" thickBot="1" x14ac:dyDescent="0.3">
      <c r="D120" s="151" t="s">
        <v>64</v>
      </c>
      <c r="E120" s="107"/>
      <c r="F120" s="892"/>
      <c r="G120" s="154" t="s">
        <v>65</v>
      </c>
      <c r="H120" s="111" t="s">
        <v>6</v>
      </c>
    </row>
    <row r="121" spans="3:20" ht="15" customHeight="1" thickBot="1" x14ac:dyDescent="0.3">
      <c r="Q121" s="103" t="s">
        <v>151</v>
      </c>
    </row>
    <row r="122" spans="3:20" ht="13.8" thickBot="1" x14ac:dyDescent="0.3">
      <c r="P122" s="252" t="s">
        <v>77</v>
      </c>
      <c r="Q122" s="268" t="e">
        <f>IF(P122="A",'Summary of results'!E37,IF(P122="B",'Summary of results'!E38,IF(P122="C",'Summary of results'!E39,IF(P122="D",'Summary of results'!E40,IF(P122="E",'Summary of results'!E41,IF(P122="F",'Summary of results'!E42,""))))))</f>
        <v>#DIV/0!</v>
      </c>
    </row>
    <row r="123" spans="3:20" x14ac:dyDescent="0.25">
      <c r="P123" s="258" t="s">
        <v>162</v>
      </c>
      <c r="Q123" s="257"/>
    </row>
  </sheetData>
  <mergeCells count="119">
    <mergeCell ref="W93:AE93"/>
    <mergeCell ref="W94:AE94"/>
    <mergeCell ref="W60:AE60"/>
    <mergeCell ref="W61:AE61"/>
    <mergeCell ref="W62:AE62"/>
    <mergeCell ref="W63:AE63"/>
    <mergeCell ref="W64:AE64"/>
    <mergeCell ref="W77:AE77"/>
    <mergeCell ref="W78:AE78"/>
    <mergeCell ref="G3:J3"/>
    <mergeCell ref="U3:Z3"/>
    <mergeCell ref="E17:G17"/>
    <mergeCell ref="H17:P17"/>
    <mergeCell ref="E18:G18"/>
    <mergeCell ref="H18:L18"/>
    <mergeCell ref="M18:P18"/>
    <mergeCell ref="D4:E4"/>
    <mergeCell ref="G4:H4"/>
    <mergeCell ref="U4:Z5"/>
    <mergeCell ref="H11:K11"/>
    <mergeCell ref="V12:Z12"/>
    <mergeCell ref="V15:Z15"/>
    <mergeCell ref="V16:Z16"/>
    <mergeCell ref="E105:G105"/>
    <mergeCell ref="H105:L105"/>
    <mergeCell ref="M105:P105"/>
    <mergeCell ref="W22:AE22"/>
    <mergeCell ref="W23:AE23"/>
    <mergeCell ref="W24:AE24"/>
    <mergeCell ref="W25:AE25"/>
    <mergeCell ref="W32:AE32"/>
    <mergeCell ref="W27:AE27"/>
    <mergeCell ref="W26:AE26"/>
    <mergeCell ref="W28:AE28"/>
    <mergeCell ref="W67:AE67"/>
    <mergeCell ref="W41:AE41"/>
    <mergeCell ref="W42:AE42"/>
    <mergeCell ref="W43:AE43"/>
    <mergeCell ref="W44:AE44"/>
    <mergeCell ref="E104:G104"/>
    <mergeCell ref="H104:P104"/>
    <mergeCell ref="W48:AE48"/>
    <mergeCell ref="W39:AE39"/>
    <mergeCell ref="W38:AE38"/>
    <mergeCell ref="W37:AE37"/>
    <mergeCell ref="W40:AE40"/>
    <mergeCell ref="W45:AE45"/>
    <mergeCell ref="N117:O117"/>
    <mergeCell ref="P117:Q117"/>
    <mergeCell ref="T106:T107"/>
    <mergeCell ref="U106:U107"/>
    <mergeCell ref="T19:T20"/>
    <mergeCell ref="U19:U20"/>
    <mergeCell ref="S19:S20"/>
    <mergeCell ref="AN4:AS4"/>
    <mergeCell ref="O11:R11"/>
    <mergeCell ref="AP6:AS6"/>
    <mergeCell ref="V6:Z6"/>
    <mergeCell ref="V7:Z7"/>
    <mergeCell ref="V8:Z8"/>
    <mergeCell ref="V9:Z9"/>
    <mergeCell ref="V10:Z10"/>
    <mergeCell ref="AL4:AM4"/>
    <mergeCell ref="V19:V20"/>
    <mergeCell ref="W19:AE20"/>
    <mergeCell ref="W46:AE46"/>
    <mergeCell ref="W47:AE47"/>
    <mergeCell ref="W49:AE49"/>
    <mergeCell ref="W50:AE50"/>
    <mergeCell ref="W51:AE51"/>
    <mergeCell ref="W52:AE52"/>
    <mergeCell ref="W110:AE110"/>
    <mergeCell ref="W111:AE111"/>
    <mergeCell ref="W21:AE21"/>
    <mergeCell ref="V106:V107"/>
    <mergeCell ref="S106:S107"/>
    <mergeCell ref="W106:AE107"/>
    <mergeCell ref="W108:AE108"/>
    <mergeCell ref="W109:AE109"/>
    <mergeCell ref="W29:AE29"/>
    <mergeCell ref="W30:AE30"/>
    <mergeCell ref="W31:AE31"/>
    <mergeCell ref="W34:AE34"/>
    <mergeCell ref="W36:AE36"/>
    <mergeCell ref="W35:AE35"/>
    <mergeCell ref="W33:AE33"/>
    <mergeCell ref="W66:AE66"/>
    <mergeCell ref="W58:AE58"/>
    <mergeCell ref="W59:AE59"/>
    <mergeCell ref="W53:AE53"/>
    <mergeCell ref="W54:AE54"/>
    <mergeCell ref="W55:AE55"/>
    <mergeCell ref="W56:AE56"/>
    <mergeCell ref="W57:AE57"/>
    <mergeCell ref="W65:AE65"/>
    <mergeCell ref="W95:AE95"/>
    <mergeCell ref="W68:AE68"/>
    <mergeCell ref="W69:AE69"/>
    <mergeCell ref="W70:AE70"/>
    <mergeCell ref="W71:AE71"/>
    <mergeCell ref="W72:AE72"/>
    <mergeCell ref="W73:AE73"/>
    <mergeCell ref="W74:AE74"/>
    <mergeCell ref="W76:AE76"/>
    <mergeCell ref="W75:AE75"/>
    <mergeCell ref="W79:AE79"/>
    <mergeCell ref="W80:AE80"/>
    <mergeCell ref="W81:AE81"/>
    <mergeCell ref="W82:AE82"/>
    <mergeCell ref="W83:AE83"/>
    <mergeCell ref="W84:AE84"/>
    <mergeCell ref="W85:AE85"/>
    <mergeCell ref="W86:AE86"/>
    <mergeCell ref="W87:AE87"/>
    <mergeCell ref="W88:AE88"/>
    <mergeCell ref="W89:AE89"/>
    <mergeCell ref="W90:AE90"/>
    <mergeCell ref="W91:AE91"/>
    <mergeCell ref="W92:AE92"/>
  </mergeCells>
  <conditionalFormatting sqref="G118">
    <cfRule type="cellIs" dxfId="0" priority="1" operator="between">
      <formula>-0.015</formula>
      <formula>0.015</formula>
    </cfRule>
  </conditionalFormatting>
  <dataValidations disablePrompts="1" count="2">
    <dataValidation type="list" allowBlank="1" showInputMessage="1" showErrorMessage="1" sqref="H7" xr:uid="{00000000-0002-0000-0100-000000000000}">
      <formula1>"HP,Slim,Condenser,Vented"</formula1>
    </dataValidation>
    <dataValidation type="list" allowBlank="1" showInputMessage="1" showErrorMessage="1" sqref="E5" xr:uid="{00000000-0002-0000-0100-000001000000}">
      <formula1>"CB &amp; HMD, CHG, GP, Slim, Cond, Vent EU, Vent UK"</formula1>
    </dataValidation>
  </dataValidations>
  <pageMargins left="0.70866141732283472" right="1.48" top="0.74803149606299213" bottom="0.74803149606299213" header="0.31496062992125984" footer="0.31496062992125984"/>
  <pageSetup paperSize="8" scale="65" fitToWidth="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3:AH35"/>
  <sheetViews>
    <sheetView zoomScale="85" zoomScaleNormal="85" workbookViewId="0">
      <selection activeCell="J10" sqref="J10"/>
    </sheetView>
  </sheetViews>
  <sheetFormatPr defaultRowHeight="14.4" x14ac:dyDescent="0.3"/>
  <cols>
    <col min="2" max="2" width="15.6640625" bestFit="1" customWidth="1"/>
    <col min="3" max="4" width="11.6640625" bestFit="1" customWidth="1"/>
    <col min="5" max="5" width="12.33203125" bestFit="1" customWidth="1"/>
    <col min="6" max="11" width="11.6640625" bestFit="1" customWidth="1"/>
    <col min="12" max="13" width="13.5546875" bestFit="1" customWidth="1"/>
    <col min="14" max="16" width="10.6640625" bestFit="1" customWidth="1"/>
    <col min="17" max="19" width="12.6640625" bestFit="1" customWidth="1"/>
    <col min="20" max="28" width="12.6640625" customWidth="1"/>
    <col min="29" max="30" width="11.6640625" bestFit="1" customWidth="1"/>
    <col min="31" max="31" width="12.33203125" bestFit="1" customWidth="1"/>
    <col min="32" max="32" width="11.6640625" customWidth="1"/>
    <col min="33" max="33" width="12.33203125" bestFit="1" customWidth="1"/>
    <col min="34" max="34" width="12.33203125" customWidth="1"/>
  </cols>
  <sheetData>
    <row r="3" spans="2:34" ht="23.4" x14ac:dyDescent="0.3">
      <c r="B3" s="434"/>
      <c r="C3" s="816" t="s">
        <v>235</v>
      </c>
      <c r="D3" s="817"/>
      <c r="E3" s="817"/>
      <c r="F3" s="817"/>
      <c r="G3" s="817"/>
      <c r="H3" s="817"/>
      <c r="I3" s="817"/>
      <c r="J3" s="817"/>
      <c r="K3" s="817"/>
      <c r="L3" s="817"/>
      <c r="M3" s="817"/>
      <c r="N3" s="817"/>
      <c r="O3" s="817"/>
      <c r="P3" s="817"/>
      <c r="Q3" s="817"/>
      <c r="R3" s="817"/>
      <c r="S3" s="817"/>
      <c r="T3" s="817"/>
      <c r="U3" s="817"/>
      <c r="V3" s="817"/>
      <c r="W3" s="817"/>
      <c r="X3" s="817"/>
      <c r="Y3" s="817"/>
      <c r="Z3" s="817"/>
      <c r="AA3" s="817"/>
      <c r="AB3" s="817"/>
      <c r="AC3" s="803" t="s">
        <v>236</v>
      </c>
      <c r="AD3" s="803"/>
      <c r="AE3" s="803"/>
      <c r="AF3" s="803"/>
      <c r="AG3" s="803" t="s">
        <v>240</v>
      </c>
      <c r="AH3" s="803"/>
    </row>
    <row r="4" spans="2:34" x14ac:dyDescent="0.3">
      <c r="B4" s="434"/>
      <c r="C4" s="432">
        <v>7</v>
      </c>
      <c r="D4" s="399">
        <v>8</v>
      </c>
      <c r="E4" s="399" t="s">
        <v>178</v>
      </c>
      <c r="F4" s="400">
        <v>9</v>
      </c>
      <c r="G4" s="400">
        <v>10</v>
      </c>
      <c r="H4" s="400">
        <v>11</v>
      </c>
      <c r="I4" s="399">
        <v>7</v>
      </c>
      <c r="J4" s="399">
        <v>8</v>
      </c>
      <c r="K4" s="331">
        <v>9</v>
      </c>
      <c r="L4" s="331">
        <v>10</v>
      </c>
      <c r="M4" s="331">
        <v>11</v>
      </c>
      <c r="N4" s="400">
        <v>7</v>
      </c>
      <c r="O4" s="399">
        <v>8</v>
      </c>
      <c r="P4" s="400">
        <v>9</v>
      </c>
      <c r="Q4" s="331">
        <v>10</v>
      </c>
      <c r="R4" s="331">
        <v>11</v>
      </c>
      <c r="S4" s="400">
        <v>7</v>
      </c>
      <c r="T4" s="321">
        <v>8</v>
      </c>
      <c r="U4" s="331">
        <v>9</v>
      </c>
      <c r="V4" s="401">
        <v>10</v>
      </c>
      <c r="W4" s="401">
        <v>11</v>
      </c>
      <c r="X4" s="416">
        <v>7</v>
      </c>
      <c r="Y4" s="402">
        <v>8</v>
      </c>
      <c r="Z4" s="401">
        <v>9</v>
      </c>
      <c r="AA4" s="401">
        <v>10</v>
      </c>
      <c r="AB4" s="401">
        <v>11</v>
      </c>
      <c r="AC4" s="399">
        <v>7</v>
      </c>
      <c r="AD4" s="399">
        <v>8</v>
      </c>
      <c r="AE4" s="399" t="s">
        <v>178</v>
      </c>
      <c r="AF4" s="400">
        <v>9</v>
      </c>
      <c r="AG4" s="400">
        <v>10</v>
      </c>
      <c r="AH4" s="400">
        <v>11</v>
      </c>
    </row>
    <row r="5" spans="2:34" x14ac:dyDescent="0.3">
      <c r="B5" s="434"/>
      <c r="C5" s="322" t="s">
        <v>75</v>
      </c>
      <c r="D5" s="321" t="s">
        <v>75</v>
      </c>
      <c r="E5" s="321" t="s">
        <v>75</v>
      </c>
      <c r="F5" s="321" t="s">
        <v>75</v>
      </c>
      <c r="G5" s="321" t="s">
        <v>75</v>
      </c>
      <c r="H5" s="321" t="s">
        <v>75</v>
      </c>
      <c r="I5" s="369" t="s">
        <v>74</v>
      </c>
      <c r="J5" s="369" t="s">
        <v>74</v>
      </c>
      <c r="K5" s="369" t="s">
        <v>74</v>
      </c>
      <c r="L5" s="369" t="s">
        <v>74</v>
      </c>
      <c r="M5" s="369" t="s">
        <v>74</v>
      </c>
      <c r="N5" s="321" t="s">
        <v>70</v>
      </c>
      <c r="O5" s="321" t="s">
        <v>70</v>
      </c>
      <c r="P5" s="321" t="s">
        <v>70</v>
      </c>
      <c r="Q5" s="369" t="s">
        <v>70</v>
      </c>
      <c r="R5" s="369" t="s">
        <v>70</v>
      </c>
      <c r="S5" s="321" t="s">
        <v>77</v>
      </c>
      <c r="T5" s="321" t="s">
        <v>77</v>
      </c>
      <c r="U5" s="321" t="s">
        <v>77</v>
      </c>
      <c r="V5" s="402" t="s">
        <v>77</v>
      </c>
      <c r="W5" s="402" t="s">
        <v>77</v>
      </c>
      <c r="X5" s="402" t="s">
        <v>62</v>
      </c>
      <c r="Y5" s="402" t="s">
        <v>62</v>
      </c>
      <c r="Z5" s="402" t="s">
        <v>62</v>
      </c>
      <c r="AA5" s="402" t="s">
        <v>62</v>
      </c>
      <c r="AB5" s="402" t="s">
        <v>62</v>
      </c>
      <c r="AC5" s="321" t="s">
        <v>75</v>
      </c>
      <c r="AD5" s="321" t="s">
        <v>75</v>
      </c>
      <c r="AE5" s="321" t="s">
        <v>75</v>
      </c>
      <c r="AF5" s="321" t="s">
        <v>75</v>
      </c>
      <c r="AG5" s="321"/>
      <c r="AH5" s="321"/>
    </row>
    <row r="6" spans="2:34" x14ac:dyDescent="0.3">
      <c r="B6" s="435"/>
      <c r="C6" s="322" t="s">
        <v>102</v>
      </c>
      <c r="D6" s="321" t="s">
        <v>102</v>
      </c>
      <c r="E6" s="321" t="s">
        <v>102</v>
      </c>
      <c r="F6" s="321" t="s">
        <v>102</v>
      </c>
      <c r="G6" s="321" t="s">
        <v>102</v>
      </c>
      <c r="H6" s="321" t="s">
        <v>102</v>
      </c>
      <c r="I6" s="321" t="s">
        <v>103</v>
      </c>
      <c r="J6" s="321" t="s">
        <v>103</v>
      </c>
      <c r="K6" s="321" t="s">
        <v>103</v>
      </c>
      <c r="L6" s="321" t="s">
        <v>103</v>
      </c>
      <c r="M6" s="321" t="s">
        <v>103</v>
      </c>
      <c r="N6" s="321" t="s">
        <v>104</v>
      </c>
      <c r="O6" s="321" t="s">
        <v>104</v>
      </c>
      <c r="P6" s="321" t="s">
        <v>104</v>
      </c>
      <c r="Q6" s="321" t="s">
        <v>104</v>
      </c>
      <c r="R6" s="321" t="s">
        <v>104</v>
      </c>
      <c r="S6" s="321" t="s">
        <v>104</v>
      </c>
      <c r="T6" s="321" t="s">
        <v>104</v>
      </c>
      <c r="U6" s="321" t="s">
        <v>104</v>
      </c>
      <c r="V6" s="402" t="s">
        <v>104</v>
      </c>
      <c r="W6" s="402" t="s">
        <v>104</v>
      </c>
      <c r="X6" s="402" t="s">
        <v>104</v>
      </c>
      <c r="Y6" s="402" t="s">
        <v>104</v>
      </c>
      <c r="Z6" s="402" t="s">
        <v>104</v>
      </c>
      <c r="AA6" s="402" t="s">
        <v>104</v>
      </c>
      <c r="AB6" s="402" t="s">
        <v>104</v>
      </c>
      <c r="AC6" s="321" t="s">
        <v>102</v>
      </c>
      <c r="AD6" s="321" t="s">
        <v>102</v>
      </c>
      <c r="AE6" s="321" t="s">
        <v>102</v>
      </c>
      <c r="AF6" s="321" t="s">
        <v>102</v>
      </c>
      <c r="AG6" s="321" t="s">
        <v>103</v>
      </c>
      <c r="AH6" s="321" t="s">
        <v>103</v>
      </c>
    </row>
    <row r="7" spans="2:34" ht="56.4" customHeight="1" x14ac:dyDescent="0.3">
      <c r="B7" s="433" t="s">
        <v>132</v>
      </c>
      <c r="C7" s="411" t="s">
        <v>184</v>
      </c>
      <c r="D7" s="331" t="s">
        <v>184</v>
      </c>
      <c r="E7" s="331" t="s">
        <v>184</v>
      </c>
      <c r="F7" s="331" t="s">
        <v>184</v>
      </c>
      <c r="G7" s="331" t="s">
        <v>184</v>
      </c>
      <c r="H7" s="331" t="s">
        <v>184</v>
      </c>
      <c r="I7" s="331" t="s">
        <v>184</v>
      </c>
      <c r="J7" s="331" t="s">
        <v>184</v>
      </c>
      <c r="K7" s="331" t="s">
        <v>184</v>
      </c>
      <c r="L7" s="331" t="s">
        <v>183</v>
      </c>
      <c r="M7" s="331" t="s">
        <v>183</v>
      </c>
      <c r="N7" s="331">
        <v>70018390</v>
      </c>
      <c r="O7" s="331">
        <v>70018390</v>
      </c>
      <c r="P7" s="331">
        <v>70018390</v>
      </c>
      <c r="Q7" s="331" t="s">
        <v>183</v>
      </c>
      <c r="R7" s="331" t="s">
        <v>183</v>
      </c>
      <c r="S7" s="331" t="s">
        <v>183</v>
      </c>
      <c r="T7" s="331" t="s">
        <v>183</v>
      </c>
      <c r="U7" s="331" t="s">
        <v>183</v>
      </c>
      <c r="V7" s="403"/>
      <c r="W7" s="403"/>
      <c r="X7" s="403"/>
      <c r="Y7" s="403"/>
      <c r="Z7" s="403"/>
      <c r="AA7" s="403"/>
      <c r="AB7" s="403"/>
      <c r="AC7" s="411" t="s">
        <v>184</v>
      </c>
      <c r="AD7" s="331" t="s">
        <v>184</v>
      </c>
      <c r="AE7" s="331" t="s">
        <v>184</v>
      </c>
      <c r="AF7" s="331" t="s">
        <v>184</v>
      </c>
      <c r="AG7" s="331" t="s">
        <v>184</v>
      </c>
      <c r="AH7" s="331" t="s">
        <v>184</v>
      </c>
    </row>
    <row r="8" spans="2:34" ht="56.4" customHeight="1" x14ac:dyDescent="0.3">
      <c r="B8" s="431" t="s">
        <v>180</v>
      </c>
      <c r="C8" s="419" t="s">
        <v>187</v>
      </c>
      <c r="D8" s="419" t="s">
        <v>187</v>
      </c>
      <c r="E8" s="419" t="s">
        <v>187</v>
      </c>
      <c r="F8" s="419" t="s">
        <v>187</v>
      </c>
      <c r="G8" s="419" t="s">
        <v>187</v>
      </c>
      <c r="H8" s="419" t="s">
        <v>187</v>
      </c>
      <c r="I8" s="419" t="s">
        <v>187</v>
      </c>
      <c r="J8" s="419" t="s">
        <v>187</v>
      </c>
      <c r="K8" s="419" t="s">
        <v>187</v>
      </c>
      <c r="L8" s="419" t="s">
        <v>187</v>
      </c>
      <c r="M8" s="419" t="s">
        <v>187</v>
      </c>
      <c r="N8" s="331">
        <v>70013434</v>
      </c>
      <c r="O8" s="331">
        <v>70013434</v>
      </c>
      <c r="P8" s="331">
        <v>70013434</v>
      </c>
      <c r="Q8" s="331">
        <v>40015287</v>
      </c>
      <c r="R8" s="331">
        <v>40015287</v>
      </c>
      <c r="S8" s="331">
        <v>40015287</v>
      </c>
      <c r="T8" s="331">
        <v>40015287</v>
      </c>
      <c r="U8" s="331">
        <v>40015287</v>
      </c>
      <c r="V8" s="403"/>
      <c r="W8" s="403"/>
      <c r="X8" s="403"/>
      <c r="Y8" s="403"/>
      <c r="Z8" s="403"/>
      <c r="AA8" s="403"/>
      <c r="AB8" s="403"/>
      <c r="AC8" s="419" t="s">
        <v>187</v>
      </c>
      <c r="AD8" s="419" t="s">
        <v>187</v>
      </c>
      <c r="AE8" s="419" t="s">
        <v>187</v>
      </c>
      <c r="AF8" s="419" t="s">
        <v>187</v>
      </c>
      <c r="AG8" s="419" t="s">
        <v>187</v>
      </c>
      <c r="AH8" s="419" t="s">
        <v>187</v>
      </c>
    </row>
    <row r="9" spans="2:34" ht="56.4" customHeight="1" x14ac:dyDescent="0.3">
      <c r="B9" s="431" t="s">
        <v>173</v>
      </c>
      <c r="C9" s="421" t="s">
        <v>188</v>
      </c>
      <c r="D9" s="421" t="s">
        <v>188</v>
      </c>
      <c r="E9" s="421">
        <v>70041311</v>
      </c>
      <c r="F9" s="421" t="s">
        <v>188</v>
      </c>
      <c r="G9" s="421" t="s">
        <v>188</v>
      </c>
      <c r="H9" s="421" t="s">
        <v>188</v>
      </c>
      <c r="I9" s="421" t="s">
        <v>188</v>
      </c>
      <c r="J9" s="421" t="s">
        <v>188</v>
      </c>
      <c r="K9" s="421" t="s">
        <v>188</v>
      </c>
      <c r="L9" s="421" t="s">
        <v>188</v>
      </c>
      <c r="M9" s="421" t="s">
        <v>188</v>
      </c>
      <c r="N9" s="331">
        <v>70013433</v>
      </c>
      <c r="O9" s="331">
        <v>70013433</v>
      </c>
      <c r="P9" s="331">
        <v>70013433</v>
      </c>
      <c r="Q9" s="331">
        <v>40015288</v>
      </c>
      <c r="R9" s="331">
        <v>40015288</v>
      </c>
      <c r="S9" s="331">
        <v>40015288</v>
      </c>
      <c r="T9" s="331">
        <v>40015288</v>
      </c>
      <c r="U9" s="331">
        <v>40015288</v>
      </c>
      <c r="V9" s="405"/>
      <c r="W9" s="405"/>
      <c r="X9" s="405"/>
      <c r="Y9" s="406"/>
      <c r="Z9" s="405"/>
      <c r="AA9" s="405"/>
      <c r="AB9" s="405"/>
      <c r="AC9" s="421" t="s">
        <v>188</v>
      </c>
      <c r="AD9" s="421" t="s">
        <v>188</v>
      </c>
      <c r="AE9" s="421">
        <v>70041311</v>
      </c>
      <c r="AF9" s="421" t="s">
        <v>188</v>
      </c>
      <c r="AG9" s="421" t="s">
        <v>188</v>
      </c>
      <c r="AH9" s="421">
        <v>40015286</v>
      </c>
    </row>
    <row r="10" spans="2:34" ht="56.4" customHeight="1" x14ac:dyDescent="0.3">
      <c r="B10" s="431" t="s">
        <v>181</v>
      </c>
      <c r="C10" s="420" t="s">
        <v>241</v>
      </c>
      <c r="D10" s="420" t="s">
        <v>241</v>
      </c>
      <c r="E10" s="7">
        <v>70041310</v>
      </c>
      <c r="F10" s="420" t="s">
        <v>241</v>
      </c>
      <c r="G10" s="420" t="s">
        <v>241</v>
      </c>
      <c r="H10" s="420" t="s">
        <v>241</v>
      </c>
      <c r="I10" s="420" t="s">
        <v>241</v>
      </c>
      <c r="J10" s="420" t="s">
        <v>241</v>
      </c>
      <c r="K10" s="420" t="s">
        <v>241</v>
      </c>
      <c r="L10" s="420" t="s">
        <v>241</v>
      </c>
      <c r="M10" s="420" t="s">
        <v>241</v>
      </c>
      <c r="N10" s="331">
        <v>70014569</v>
      </c>
      <c r="O10" s="331">
        <v>70014569</v>
      </c>
      <c r="P10" s="331">
        <v>70014569</v>
      </c>
      <c r="Q10" s="331">
        <v>40014855</v>
      </c>
      <c r="R10" s="331">
        <v>40014855</v>
      </c>
      <c r="S10" s="331">
        <v>40014855</v>
      </c>
      <c r="T10" s="331">
        <v>40014855</v>
      </c>
      <c r="U10" s="331">
        <v>40014855</v>
      </c>
      <c r="V10" s="405"/>
      <c r="W10" s="405"/>
      <c r="X10" s="405"/>
      <c r="Y10" s="406"/>
      <c r="Z10" s="405"/>
      <c r="AA10" s="405"/>
      <c r="AB10" s="405"/>
      <c r="AC10" s="420" t="s">
        <v>189</v>
      </c>
      <c r="AD10" s="420" t="s">
        <v>189</v>
      </c>
      <c r="AE10" s="420" t="s">
        <v>189</v>
      </c>
      <c r="AF10" s="420" t="s">
        <v>189</v>
      </c>
      <c r="AG10" s="420" t="s">
        <v>189</v>
      </c>
      <c r="AH10" s="420" t="s">
        <v>189</v>
      </c>
    </row>
    <row r="11" spans="2:34" ht="56.4" customHeight="1" x14ac:dyDescent="0.3">
      <c r="B11" s="431" t="s">
        <v>128</v>
      </c>
      <c r="C11" s="277">
        <v>70042251</v>
      </c>
      <c r="D11" s="277">
        <v>70042251</v>
      </c>
      <c r="E11" s="277">
        <v>70042251</v>
      </c>
      <c r="F11" s="277">
        <v>70042251</v>
      </c>
      <c r="G11" s="277">
        <v>70031142</v>
      </c>
      <c r="H11" s="277">
        <v>70031142</v>
      </c>
      <c r="I11" s="277">
        <v>70031142</v>
      </c>
      <c r="J11" s="277">
        <v>70031142</v>
      </c>
      <c r="K11" s="277">
        <v>70031142</v>
      </c>
      <c r="L11" s="277">
        <v>70031142</v>
      </c>
      <c r="M11" s="277">
        <v>70031142</v>
      </c>
      <c r="N11" s="277">
        <v>70014572</v>
      </c>
      <c r="O11" s="277">
        <v>70014572</v>
      </c>
      <c r="P11" s="277">
        <v>70014572</v>
      </c>
      <c r="Q11" s="277">
        <v>70057614</v>
      </c>
      <c r="R11" s="277">
        <v>70057614</v>
      </c>
      <c r="S11" s="277">
        <v>70057614</v>
      </c>
      <c r="T11" s="277">
        <v>70057614</v>
      </c>
      <c r="U11" s="277">
        <v>70057614</v>
      </c>
      <c r="V11" s="407"/>
      <c r="W11" s="407"/>
      <c r="X11" s="407"/>
      <c r="Y11" s="407"/>
      <c r="Z11" s="407"/>
      <c r="AA11" s="407"/>
      <c r="AB11" s="407"/>
      <c r="AC11" s="277">
        <v>40014301</v>
      </c>
      <c r="AD11" s="277">
        <v>40014301</v>
      </c>
      <c r="AE11" s="277">
        <v>70042251</v>
      </c>
      <c r="AF11" s="277">
        <v>40014301</v>
      </c>
      <c r="AG11" s="277">
        <v>70031142</v>
      </c>
      <c r="AH11" s="277">
        <v>70031142</v>
      </c>
    </row>
    <row r="12" spans="2:34" ht="56.4" customHeight="1" x14ac:dyDescent="0.3">
      <c r="B12" s="431" t="s">
        <v>125</v>
      </c>
      <c r="C12" s="277">
        <v>70047244</v>
      </c>
      <c r="D12" s="277">
        <v>70047244</v>
      </c>
      <c r="E12" s="277">
        <v>70047244</v>
      </c>
      <c r="F12" s="277">
        <v>70047244</v>
      </c>
      <c r="G12" s="277">
        <v>70047244</v>
      </c>
      <c r="H12" s="277">
        <v>70047244</v>
      </c>
      <c r="I12" s="277">
        <v>70047244</v>
      </c>
      <c r="J12" s="277">
        <v>70047244</v>
      </c>
      <c r="K12" s="277">
        <v>70047244</v>
      </c>
      <c r="L12" s="331">
        <v>70016632</v>
      </c>
      <c r="M12" s="331">
        <v>70016632</v>
      </c>
      <c r="N12" s="331">
        <v>70016632</v>
      </c>
      <c r="O12" s="331">
        <v>70016632</v>
      </c>
      <c r="P12" s="331">
        <v>70016632</v>
      </c>
      <c r="Q12" s="331">
        <v>70016632</v>
      </c>
      <c r="R12" s="331">
        <v>70016632</v>
      </c>
      <c r="S12" s="331">
        <v>70016632</v>
      </c>
      <c r="T12" s="331">
        <v>70016632</v>
      </c>
      <c r="U12" s="331">
        <v>70016632</v>
      </c>
      <c r="V12" s="401"/>
      <c r="W12" s="401"/>
      <c r="X12" s="401"/>
      <c r="Y12" s="406"/>
      <c r="Z12" s="401"/>
      <c r="AA12" s="401"/>
      <c r="AB12" s="401"/>
      <c r="AC12" s="277">
        <v>70047244</v>
      </c>
      <c r="AD12" s="277">
        <v>70047244</v>
      </c>
      <c r="AE12" s="277">
        <v>70047244</v>
      </c>
      <c r="AF12" s="277">
        <v>70047244</v>
      </c>
      <c r="AG12" s="277">
        <v>70047244</v>
      </c>
      <c r="AH12" s="277">
        <v>70047244</v>
      </c>
    </row>
    <row r="13" spans="2:34" ht="56.4" customHeight="1" x14ac:dyDescent="0.3">
      <c r="B13" s="431" t="s">
        <v>182</v>
      </c>
      <c r="C13" s="277">
        <v>40014287</v>
      </c>
      <c r="D13" s="277">
        <v>40014287</v>
      </c>
      <c r="E13" s="277">
        <v>40014287</v>
      </c>
      <c r="F13" s="277">
        <v>40014287</v>
      </c>
      <c r="G13" s="331" t="s">
        <v>190</v>
      </c>
      <c r="H13" s="331" t="s">
        <v>190</v>
      </c>
      <c r="I13" s="277">
        <v>40014287</v>
      </c>
      <c r="J13" s="277">
        <v>40014287</v>
      </c>
      <c r="K13" s="277">
        <v>40014287</v>
      </c>
      <c r="L13" s="331">
        <v>70019615</v>
      </c>
      <c r="M13" s="331">
        <v>70019615</v>
      </c>
      <c r="N13" s="331">
        <v>70019615</v>
      </c>
      <c r="O13" s="331">
        <v>70019615</v>
      </c>
      <c r="P13" s="331">
        <v>70019615</v>
      </c>
      <c r="Q13" s="331">
        <v>70019615</v>
      </c>
      <c r="R13" s="331">
        <v>70019615</v>
      </c>
      <c r="S13" s="331">
        <v>70019615</v>
      </c>
      <c r="T13" s="331">
        <v>70019615</v>
      </c>
      <c r="U13" s="331">
        <v>70019615</v>
      </c>
      <c r="V13" s="401"/>
      <c r="W13" s="401"/>
      <c r="X13" s="401"/>
      <c r="Y13" s="406"/>
      <c r="Z13" s="401"/>
      <c r="AA13" s="401"/>
      <c r="AB13" s="401"/>
      <c r="AC13" s="277">
        <v>40014287</v>
      </c>
      <c r="AD13" s="277">
        <v>40014287</v>
      </c>
      <c r="AE13" s="277">
        <v>40014287</v>
      </c>
      <c r="AF13" s="277">
        <v>40014287</v>
      </c>
      <c r="AG13" s="331" t="s">
        <v>190</v>
      </c>
      <c r="AH13" s="331" t="s">
        <v>190</v>
      </c>
    </row>
    <row r="14" spans="2:34" ht="56.4" customHeight="1" x14ac:dyDescent="0.3">
      <c r="B14" s="431" t="s">
        <v>237</v>
      </c>
      <c r="C14" s="277" t="s">
        <v>86</v>
      </c>
      <c r="D14" s="277" t="s">
        <v>86</v>
      </c>
      <c r="E14" s="277" t="s">
        <v>86</v>
      </c>
      <c r="F14" s="277" t="s">
        <v>86</v>
      </c>
      <c r="G14" s="277" t="s">
        <v>238</v>
      </c>
      <c r="H14" s="277" t="s">
        <v>238</v>
      </c>
      <c r="I14" s="277" t="s">
        <v>238</v>
      </c>
      <c r="J14" s="277" t="s">
        <v>238</v>
      </c>
      <c r="K14" s="277" t="s">
        <v>238</v>
      </c>
      <c r="L14" s="277" t="s">
        <v>238</v>
      </c>
      <c r="M14" s="277" t="s">
        <v>238</v>
      </c>
      <c r="N14" s="277" t="s">
        <v>238</v>
      </c>
      <c r="O14" s="277" t="s">
        <v>238</v>
      </c>
      <c r="P14" s="277" t="s">
        <v>238</v>
      </c>
      <c r="Q14" s="277" t="s">
        <v>238</v>
      </c>
      <c r="R14" s="277" t="s">
        <v>238</v>
      </c>
      <c r="S14" s="277" t="s">
        <v>238</v>
      </c>
      <c r="T14" s="277" t="s">
        <v>238</v>
      </c>
      <c r="U14" s="277" t="s">
        <v>238</v>
      </c>
      <c r="V14" s="401"/>
      <c r="W14" s="401"/>
      <c r="X14" s="401"/>
      <c r="Y14" s="406"/>
      <c r="Z14" s="401"/>
      <c r="AA14" s="401"/>
      <c r="AB14" s="401"/>
      <c r="AC14" s="277" t="s">
        <v>86</v>
      </c>
      <c r="AD14" s="277" t="s">
        <v>86</v>
      </c>
      <c r="AE14" s="277" t="s">
        <v>86</v>
      </c>
      <c r="AF14" s="277" t="s">
        <v>86</v>
      </c>
      <c r="AG14" s="277" t="s">
        <v>238</v>
      </c>
      <c r="AH14" s="277" t="s">
        <v>238</v>
      </c>
    </row>
    <row r="15" spans="2:34" x14ac:dyDescent="0.3">
      <c r="C15" s="818" t="s">
        <v>185</v>
      </c>
      <c r="D15" s="818"/>
      <c r="E15" s="818" t="s">
        <v>186</v>
      </c>
      <c r="F15" s="818"/>
      <c r="G15" s="774" t="s">
        <v>191</v>
      </c>
      <c r="H15" s="774"/>
      <c r="J15" s="818" t="s">
        <v>227</v>
      </c>
      <c r="K15" s="818"/>
      <c r="L15" s="818"/>
    </row>
    <row r="17" spans="2:28" x14ac:dyDescent="0.3">
      <c r="I17" t="s">
        <v>0</v>
      </c>
    </row>
    <row r="18" spans="2:28" x14ac:dyDescent="0.3">
      <c r="B18" s="812" t="s">
        <v>132</v>
      </c>
      <c r="C18" s="812"/>
      <c r="J18" s="812" t="s">
        <v>180</v>
      </c>
      <c r="K18" s="812"/>
      <c r="Q18" s="819" t="s">
        <v>173</v>
      </c>
      <c r="R18" s="820"/>
      <c r="X18" s="819" t="s">
        <v>182</v>
      </c>
      <c r="Y18" s="820"/>
    </row>
    <row r="19" spans="2:28" x14ac:dyDescent="0.3">
      <c r="B19" s="804" t="s">
        <v>192</v>
      </c>
      <c r="C19" s="804"/>
      <c r="D19" s="804" t="s">
        <v>193</v>
      </c>
      <c r="E19" s="804"/>
      <c r="F19" s="813" t="s">
        <v>194</v>
      </c>
      <c r="G19" s="814"/>
      <c r="H19" s="814"/>
      <c r="J19" s="804" t="s">
        <v>192</v>
      </c>
      <c r="K19" s="804"/>
      <c r="L19" s="804" t="s">
        <v>193</v>
      </c>
      <c r="M19" s="804"/>
      <c r="N19" s="807" t="s">
        <v>194</v>
      </c>
      <c r="O19" s="808"/>
      <c r="P19" s="422"/>
      <c r="Q19" s="810" t="s">
        <v>192</v>
      </c>
      <c r="R19" s="811"/>
      <c r="S19" s="810" t="s">
        <v>193</v>
      </c>
      <c r="T19" s="811"/>
      <c r="U19" s="807" t="s">
        <v>194</v>
      </c>
      <c r="V19" s="808"/>
      <c r="W19" s="424"/>
      <c r="X19" s="810" t="s">
        <v>192</v>
      </c>
      <c r="Y19" s="811"/>
      <c r="Z19" s="810" t="s">
        <v>193</v>
      </c>
      <c r="AA19" s="811"/>
      <c r="AB19" s="430" t="s">
        <v>194</v>
      </c>
    </row>
    <row r="20" spans="2:28" x14ac:dyDescent="0.3">
      <c r="B20" s="805">
        <v>91404898</v>
      </c>
      <c r="C20" s="806"/>
      <c r="D20" s="805" t="s">
        <v>197</v>
      </c>
      <c r="E20" s="806"/>
      <c r="F20" s="815" t="s">
        <v>196</v>
      </c>
      <c r="G20" s="815"/>
      <c r="H20" s="815"/>
      <c r="J20" s="805">
        <v>70033701</v>
      </c>
      <c r="K20" s="806"/>
      <c r="L20" s="805" t="s">
        <v>199</v>
      </c>
      <c r="M20" s="806"/>
      <c r="N20" s="805" t="s">
        <v>203</v>
      </c>
      <c r="O20" s="809"/>
      <c r="P20" s="423"/>
      <c r="Q20" s="805">
        <v>70033700</v>
      </c>
      <c r="R20" s="806"/>
      <c r="S20" s="805" t="s">
        <v>199</v>
      </c>
      <c r="T20" s="806"/>
      <c r="U20" s="805" t="s">
        <v>205</v>
      </c>
      <c r="V20" s="806"/>
      <c r="W20" s="425"/>
      <c r="X20" s="805">
        <v>40014287</v>
      </c>
      <c r="Y20" s="806"/>
      <c r="Z20" s="805" t="s">
        <v>195</v>
      </c>
      <c r="AA20" s="809"/>
      <c r="AB20" s="429" t="s">
        <v>226</v>
      </c>
    </row>
    <row r="21" spans="2:28" x14ac:dyDescent="0.3">
      <c r="B21" s="805">
        <v>70018390</v>
      </c>
      <c r="C21" s="806"/>
      <c r="D21" s="805" t="s">
        <v>197</v>
      </c>
      <c r="E21" s="806"/>
      <c r="F21" s="815" t="s">
        <v>198</v>
      </c>
      <c r="G21" s="815"/>
      <c r="H21" s="815"/>
      <c r="J21" s="805">
        <v>70005429</v>
      </c>
      <c r="K21" s="806"/>
      <c r="L21" s="805" t="s">
        <v>200</v>
      </c>
      <c r="M21" s="806"/>
      <c r="N21" s="805" t="s">
        <v>203</v>
      </c>
      <c r="O21" s="809"/>
      <c r="P21" s="423"/>
      <c r="Q21" s="805">
        <v>70005428</v>
      </c>
      <c r="R21" s="806"/>
      <c r="S21" s="805" t="s">
        <v>200</v>
      </c>
      <c r="T21" s="806"/>
      <c r="U21" s="805" t="s">
        <v>205</v>
      </c>
      <c r="V21" s="806"/>
      <c r="W21" s="425"/>
      <c r="X21" s="805">
        <v>70019615</v>
      </c>
      <c r="Y21" s="806"/>
      <c r="Z21" s="805" t="s">
        <v>197</v>
      </c>
      <c r="AA21" s="809"/>
      <c r="AB21" s="429" t="s">
        <v>225</v>
      </c>
    </row>
    <row r="22" spans="2:28" x14ac:dyDescent="0.3">
      <c r="J22" s="805">
        <v>70053055</v>
      </c>
      <c r="K22" s="806"/>
      <c r="L22" s="805" t="s">
        <v>201</v>
      </c>
      <c r="M22" s="806"/>
      <c r="N22" s="805" t="s">
        <v>203</v>
      </c>
      <c r="O22" s="809"/>
      <c r="P22" s="423"/>
      <c r="Q22" s="805">
        <v>70053020</v>
      </c>
      <c r="R22" s="806"/>
      <c r="S22" s="805" t="s">
        <v>201</v>
      </c>
      <c r="T22" s="806"/>
      <c r="U22" s="805" t="s">
        <v>205</v>
      </c>
      <c r="V22" s="806"/>
      <c r="W22" s="425"/>
    </row>
    <row r="23" spans="2:28" x14ac:dyDescent="0.3">
      <c r="J23" s="805">
        <v>70013434</v>
      </c>
      <c r="K23" s="806"/>
      <c r="L23" s="805" t="s">
        <v>202</v>
      </c>
      <c r="M23" s="806"/>
      <c r="N23" s="805" t="s">
        <v>204</v>
      </c>
      <c r="O23" s="806"/>
      <c r="P23" s="423"/>
      <c r="Q23" s="805">
        <v>40015286</v>
      </c>
      <c r="R23" s="806"/>
      <c r="S23" s="805" t="s">
        <v>200</v>
      </c>
      <c r="T23" s="806"/>
      <c r="U23" s="805" t="s">
        <v>205</v>
      </c>
      <c r="V23" s="806"/>
      <c r="W23" s="425"/>
    </row>
    <row r="24" spans="2:28" x14ac:dyDescent="0.3">
      <c r="J24" s="805">
        <v>40015287</v>
      </c>
      <c r="K24" s="806"/>
      <c r="L24" s="805" t="s">
        <v>208</v>
      </c>
      <c r="M24" s="806"/>
      <c r="N24" s="805" t="s">
        <v>234</v>
      </c>
      <c r="O24" s="809"/>
      <c r="P24" s="423"/>
      <c r="Q24" s="805">
        <v>70041311</v>
      </c>
      <c r="R24" s="806"/>
      <c r="S24" s="805" t="s">
        <v>202</v>
      </c>
      <c r="T24" s="806"/>
      <c r="U24" s="805" t="s">
        <v>207</v>
      </c>
      <c r="V24" s="806"/>
      <c r="W24" s="425"/>
    </row>
    <row r="25" spans="2:28" x14ac:dyDescent="0.3">
      <c r="P25" s="426"/>
      <c r="Q25" s="805">
        <v>70013433</v>
      </c>
      <c r="R25" s="806"/>
      <c r="S25" s="805" t="s">
        <v>202</v>
      </c>
      <c r="T25" s="806"/>
      <c r="U25" s="805" t="s">
        <v>206</v>
      </c>
      <c r="V25" s="806"/>
      <c r="W25" s="425"/>
    </row>
    <row r="26" spans="2:28" x14ac:dyDescent="0.3">
      <c r="Q26" s="805">
        <v>40015288</v>
      </c>
      <c r="R26" s="806"/>
      <c r="S26" s="805" t="s">
        <v>208</v>
      </c>
      <c r="T26" s="806"/>
      <c r="U26" s="805" t="s">
        <v>209</v>
      </c>
      <c r="V26" s="809"/>
      <c r="W26" s="423"/>
    </row>
    <row r="27" spans="2:28" x14ac:dyDescent="0.3">
      <c r="Q27" s="1"/>
      <c r="R27" s="1"/>
      <c r="S27" s="1"/>
      <c r="T27" s="1"/>
      <c r="U27" s="1"/>
      <c r="V27" s="1"/>
    </row>
    <row r="28" spans="2:28" x14ac:dyDescent="0.3">
      <c r="B28" s="812" t="s">
        <v>181</v>
      </c>
      <c r="C28" s="812"/>
      <c r="J28" s="812" t="s">
        <v>216</v>
      </c>
      <c r="K28" s="812"/>
      <c r="Q28" s="812" t="s">
        <v>125</v>
      </c>
      <c r="R28" s="812"/>
    </row>
    <row r="29" spans="2:28" x14ac:dyDescent="0.3">
      <c r="B29" s="804" t="s">
        <v>192</v>
      </c>
      <c r="C29" s="804"/>
      <c r="D29" s="804" t="s">
        <v>193</v>
      </c>
      <c r="E29" s="804"/>
      <c r="F29" s="813" t="s">
        <v>194</v>
      </c>
      <c r="G29" s="814"/>
      <c r="H29" s="814"/>
      <c r="J29" s="804" t="s">
        <v>192</v>
      </c>
      <c r="K29" s="804"/>
      <c r="L29" s="804" t="s">
        <v>193</v>
      </c>
      <c r="M29" s="804"/>
      <c r="N29" s="807" t="s">
        <v>194</v>
      </c>
      <c r="O29" s="824"/>
      <c r="P29" s="422"/>
      <c r="Q29" s="804" t="s">
        <v>192</v>
      </c>
      <c r="R29" s="804"/>
      <c r="S29" s="804" t="s">
        <v>193</v>
      </c>
      <c r="T29" s="804"/>
      <c r="U29" s="807" t="s">
        <v>194</v>
      </c>
      <c r="V29" s="824"/>
    </row>
    <row r="30" spans="2:28" x14ac:dyDescent="0.3">
      <c r="B30" s="805">
        <v>40015364</v>
      </c>
      <c r="C30" s="806"/>
      <c r="D30" s="805" t="s">
        <v>210</v>
      </c>
      <c r="E30" s="806"/>
      <c r="F30" s="815" t="s">
        <v>212</v>
      </c>
      <c r="G30" s="815"/>
      <c r="H30" s="815"/>
      <c r="J30" s="805" t="s">
        <v>229</v>
      </c>
      <c r="K30" s="806"/>
      <c r="L30" s="805" t="s">
        <v>217</v>
      </c>
      <c r="M30" s="806"/>
      <c r="N30" s="805" t="s">
        <v>228</v>
      </c>
      <c r="O30" s="809"/>
      <c r="P30" s="423"/>
      <c r="Q30" s="805">
        <v>70047244</v>
      </c>
      <c r="R30" s="806"/>
      <c r="S30" s="805" t="s">
        <v>221</v>
      </c>
      <c r="T30" s="806"/>
      <c r="U30" s="805" t="s">
        <v>224</v>
      </c>
      <c r="V30" s="806"/>
    </row>
    <row r="31" spans="2:28" x14ac:dyDescent="0.3">
      <c r="B31" s="805">
        <v>70080799</v>
      </c>
      <c r="C31" s="806"/>
      <c r="D31" s="805" t="s">
        <v>211</v>
      </c>
      <c r="E31" s="806"/>
      <c r="F31" s="815" t="s">
        <v>213</v>
      </c>
      <c r="G31" s="815"/>
      <c r="H31" s="815"/>
      <c r="J31" s="805" t="s">
        <v>230</v>
      </c>
      <c r="K31" s="806"/>
      <c r="L31" s="805" t="s">
        <v>217</v>
      </c>
      <c r="M31" s="806"/>
      <c r="N31" s="805" t="s">
        <v>218</v>
      </c>
      <c r="O31" s="806"/>
      <c r="P31" s="423"/>
      <c r="Q31" s="821">
        <v>70016632</v>
      </c>
      <c r="R31" s="822"/>
      <c r="S31" s="821" t="s">
        <v>222</v>
      </c>
      <c r="T31" s="822"/>
      <c r="U31" s="821" t="s">
        <v>223</v>
      </c>
      <c r="V31" s="822"/>
    </row>
    <row r="32" spans="2:28" x14ac:dyDescent="0.3">
      <c r="B32" s="805">
        <v>70014569</v>
      </c>
      <c r="C32" s="806"/>
      <c r="D32" s="805" t="s">
        <v>210</v>
      </c>
      <c r="E32" s="806"/>
      <c r="F32" s="815" t="s">
        <v>214</v>
      </c>
      <c r="G32" s="815"/>
      <c r="H32" s="815"/>
      <c r="J32" s="805" t="s">
        <v>231</v>
      </c>
      <c r="K32" s="806"/>
      <c r="L32" s="805" t="s">
        <v>217</v>
      </c>
      <c r="M32" s="806"/>
      <c r="N32" s="805" t="s">
        <v>219</v>
      </c>
      <c r="O32" s="806"/>
      <c r="P32" s="423"/>
      <c r="Q32" s="427"/>
      <c r="R32" s="427"/>
      <c r="S32" s="823"/>
      <c r="T32" s="823"/>
      <c r="U32" s="823"/>
      <c r="V32" s="823"/>
    </row>
    <row r="33" spans="2:22" x14ac:dyDescent="0.3">
      <c r="B33" s="805">
        <v>40014855</v>
      </c>
      <c r="C33" s="806"/>
      <c r="D33" s="805" t="s">
        <v>210</v>
      </c>
      <c r="E33" s="806"/>
      <c r="F33" s="815" t="s">
        <v>215</v>
      </c>
      <c r="G33" s="815"/>
      <c r="H33" s="815"/>
      <c r="J33" s="805" t="s">
        <v>232</v>
      </c>
      <c r="K33" s="806"/>
      <c r="L33" s="805" t="s">
        <v>200</v>
      </c>
      <c r="M33" s="806"/>
      <c r="N33" s="805" t="s">
        <v>219</v>
      </c>
      <c r="O33" s="806"/>
      <c r="P33" s="423"/>
      <c r="S33" s="774"/>
      <c r="T33" s="774"/>
      <c r="U33" s="774"/>
      <c r="V33" s="774"/>
    </row>
    <row r="34" spans="2:22" x14ac:dyDescent="0.3">
      <c r="B34" s="805">
        <v>70041310</v>
      </c>
      <c r="C34" s="806"/>
      <c r="D34" s="805" t="s">
        <v>210</v>
      </c>
      <c r="E34" s="806"/>
      <c r="F34" s="815" t="s">
        <v>239</v>
      </c>
      <c r="G34" s="815"/>
      <c r="H34" s="815"/>
      <c r="J34" s="805" t="s">
        <v>233</v>
      </c>
      <c r="K34" s="806"/>
      <c r="L34" s="805" t="s">
        <v>217</v>
      </c>
      <c r="M34" s="806"/>
      <c r="N34" s="805" t="s">
        <v>220</v>
      </c>
      <c r="O34" s="806"/>
    </row>
    <row r="35" spans="2:22" x14ac:dyDescent="0.3">
      <c r="J35" s="428"/>
    </row>
  </sheetData>
  <mergeCells count="120">
    <mergeCell ref="B34:C34"/>
    <mergeCell ref="D34:E34"/>
    <mergeCell ref="F34:H34"/>
    <mergeCell ref="U33:V33"/>
    <mergeCell ref="U25:V25"/>
    <mergeCell ref="S21:T21"/>
    <mergeCell ref="S22:T22"/>
    <mergeCell ref="S24:T24"/>
    <mergeCell ref="S25:T25"/>
    <mergeCell ref="L24:M24"/>
    <mergeCell ref="N24:O24"/>
    <mergeCell ref="Q25:R25"/>
    <mergeCell ref="J34:K34"/>
    <mergeCell ref="L34:M34"/>
    <mergeCell ref="N29:O29"/>
    <mergeCell ref="N31:O31"/>
    <mergeCell ref="N32:O32"/>
    <mergeCell ref="N33:O33"/>
    <mergeCell ref="N34:O34"/>
    <mergeCell ref="B33:C33"/>
    <mergeCell ref="D33:E33"/>
    <mergeCell ref="F33:H33"/>
    <mergeCell ref="B32:C32"/>
    <mergeCell ref="D32:E32"/>
    <mergeCell ref="S33:T33"/>
    <mergeCell ref="Z19:AA19"/>
    <mergeCell ref="U26:V26"/>
    <mergeCell ref="U20:V20"/>
    <mergeCell ref="U21:V21"/>
    <mergeCell ref="U22:V22"/>
    <mergeCell ref="U24:V24"/>
    <mergeCell ref="U31:V31"/>
    <mergeCell ref="U32:V32"/>
    <mergeCell ref="U29:V29"/>
    <mergeCell ref="U30:V30"/>
    <mergeCell ref="U19:V19"/>
    <mergeCell ref="U23:V23"/>
    <mergeCell ref="Q26:R26"/>
    <mergeCell ref="S26:T26"/>
    <mergeCell ref="N30:O30"/>
    <mergeCell ref="N21:O21"/>
    <mergeCell ref="N22:O22"/>
    <mergeCell ref="Q31:R31"/>
    <mergeCell ref="S31:T31"/>
    <mergeCell ref="S32:T32"/>
    <mergeCell ref="Q28:R28"/>
    <mergeCell ref="Q29:R29"/>
    <mergeCell ref="S29:T29"/>
    <mergeCell ref="Q30:R30"/>
    <mergeCell ref="S30:T30"/>
    <mergeCell ref="Q24:R24"/>
    <mergeCell ref="S23:T23"/>
    <mergeCell ref="F32:H32"/>
    <mergeCell ref="J33:K33"/>
    <mergeCell ref="B31:C31"/>
    <mergeCell ref="D31:E31"/>
    <mergeCell ref="F31:H31"/>
    <mergeCell ref="L29:M29"/>
    <mergeCell ref="J31:K31"/>
    <mergeCell ref="L31:M31"/>
    <mergeCell ref="J32:K32"/>
    <mergeCell ref="L32:M32"/>
    <mergeCell ref="J30:K30"/>
    <mergeCell ref="L30:M30"/>
    <mergeCell ref="B30:C30"/>
    <mergeCell ref="D30:E30"/>
    <mergeCell ref="F30:H30"/>
    <mergeCell ref="L33:M33"/>
    <mergeCell ref="B28:C28"/>
    <mergeCell ref="B29:C29"/>
    <mergeCell ref="D29:E29"/>
    <mergeCell ref="F29:H29"/>
    <mergeCell ref="J24:K24"/>
    <mergeCell ref="F21:H21"/>
    <mergeCell ref="D21:E21"/>
    <mergeCell ref="B21:C21"/>
    <mergeCell ref="L21:M21"/>
    <mergeCell ref="J28:K28"/>
    <mergeCell ref="J29:K29"/>
    <mergeCell ref="L22:M22"/>
    <mergeCell ref="J22:K22"/>
    <mergeCell ref="J21:K21"/>
    <mergeCell ref="L20:M20"/>
    <mergeCell ref="F19:H19"/>
    <mergeCell ref="F20:H20"/>
    <mergeCell ref="B19:C19"/>
    <mergeCell ref="S19:T19"/>
    <mergeCell ref="AC3:AF3"/>
    <mergeCell ref="C3:AB3"/>
    <mergeCell ref="C15:D15"/>
    <mergeCell ref="E15:F15"/>
    <mergeCell ref="J15:L15"/>
    <mergeCell ref="G15:H15"/>
    <mergeCell ref="J18:K18"/>
    <mergeCell ref="Q18:R18"/>
    <mergeCell ref="X18:Y18"/>
    <mergeCell ref="AG3:AH3"/>
    <mergeCell ref="D19:E19"/>
    <mergeCell ref="B20:C20"/>
    <mergeCell ref="D20:E20"/>
    <mergeCell ref="N19:O19"/>
    <mergeCell ref="N20:O20"/>
    <mergeCell ref="Q19:R19"/>
    <mergeCell ref="J23:K23"/>
    <mergeCell ref="L23:M23"/>
    <mergeCell ref="N23:O23"/>
    <mergeCell ref="Q23:R23"/>
    <mergeCell ref="Q21:R21"/>
    <mergeCell ref="Q22:R22"/>
    <mergeCell ref="X20:Y20"/>
    <mergeCell ref="Z20:AA20"/>
    <mergeCell ref="X21:Y21"/>
    <mergeCell ref="Z21:AA21"/>
    <mergeCell ref="X19:Y19"/>
    <mergeCell ref="Q20:R20"/>
    <mergeCell ref="S20:T20"/>
    <mergeCell ref="B18:C18"/>
    <mergeCell ref="J19:K19"/>
    <mergeCell ref="L19:M19"/>
    <mergeCell ref="J20:K20"/>
  </mergeCells>
  <phoneticPr fontId="52" type="noConversion"/>
  <pageMargins left="0.7" right="0.7" top="0.75" bottom="0.75" header="0.3" footer="0.3"/>
  <pageSetup paperSize="9" scale="3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B186"/>
  <sheetViews>
    <sheetView topLeftCell="A28" zoomScale="85" zoomScaleNormal="85" workbookViewId="0">
      <selection activeCell="N84" sqref="N84"/>
    </sheetView>
  </sheetViews>
  <sheetFormatPr defaultRowHeight="14.4" x14ac:dyDescent="0.3"/>
  <cols>
    <col min="2" max="2" width="56.44140625" bestFit="1" customWidth="1"/>
  </cols>
  <sheetData>
    <row r="2" spans="2:28" ht="15" thickBot="1" x14ac:dyDescent="0.35"/>
    <row r="3" spans="2:28" ht="24" thickBot="1" x14ac:dyDescent="0.35">
      <c r="C3" s="832" t="s">
        <v>177</v>
      </c>
      <c r="D3" s="833"/>
      <c r="E3" s="833"/>
      <c r="F3" s="833"/>
      <c r="G3" s="833"/>
      <c r="H3" s="833"/>
      <c r="I3" s="833"/>
      <c r="J3" s="833"/>
      <c r="K3" s="833"/>
      <c r="L3" s="833"/>
      <c r="M3" s="833"/>
      <c r="N3" s="833"/>
      <c r="O3" s="833"/>
      <c r="P3" s="833"/>
      <c r="Q3" s="833"/>
      <c r="R3" s="833"/>
      <c r="S3" s="833"/>
      <c r="T3" s="833"/>
      <c r="U3" s="833"/>
      <c r="V3" s="833"/>
      <c r="W3" s="833"/>
      <c r="X3" s="833"/>
      <c r="Y3" s="833"/>
      <c r="Z3" s="833"/>
      <c r="AA3" s="833"/>
      <c r="AB3" s="834"/>
    </row>
    <row r="4" spans="2:28" x14ac:dyDescent="0.3">
      <c r="B4" s="455" t="s">
        <v>100</v>
      </c>
      <c r="C4" s="448">
        <v>7</v>
      </c>
      <c r="D4" s="448">
        <v>8</v>
      </c>
      <c r="E4" s="448" t="s">
        <v>178</v>
      </c>
      <c r="F4" s="449">
        <v>9</v>
      </c>
      <c r="G4" s="449">
        <v>10</v>
      </c>
      <c r="H4" s="449">
        <v>11</v>
      </c>
      <c r="I4" s="448">
        <v>7</v>
      </c>
      <c r="J4" s="448">
        <v>8</v>
      </c>
      <c r="K4" s="450">
        <v>9</v>
      </c>
      <c r="L4" s="450">
        <v>10</v>
      </c>
      <c r="M4" s="450">
        <v>11</v>
      </c>
      <c r="N4" s="449">
        <v>7</v>
      </c>
      <c r="O4" s="448">
        <v>8</v>
      </c>
      <c r="P4" s="449">
        <v>9</v>
      </c>
      <c r="Q4" s="450">
        <v>10</v>
      </c>
      <c r="R4" s="450">
        <v>11</v>
      </c>
      <c r="S4" s="449">
        <v>7</v>
      </c>
      <c r="T4" s="451">
        <v>8</v>
      </c>
      <c r="U4" s="450">
        <v>9</v>
      </c>
      <c r="V4" s="452">
        <v>10</v>
      </c>
      <c r="W4" s="452">
        <v>11</v>
      </c>
      <c r="X4" s="453">
        <v>7</v>
      </c>
      <c r="Y4" s="454">
        <v>8</v>
      </c>
      <c r="Z4" s="452">
        <v>9</v>
      </c>
      <c r="AA4" s="452">
        <v>10</v>
      </c>
      <c r="AB4" s="452">
        <v>11</v>
      </c>
    </row>
    <row r="5" spans="2:28" x14ac:dyDescent="0.3">
      <c r="B5" s="455" t="s">
        <v>140</v>
      </c>
      <c r="C5" s="321" t="s">
        <v>75</v>
      </c>
      <c r="D5" s="321" t="s">
        <v>75</v>
      </c>
      <c r="E5" s="321" t="s">
        <v>75</v>
      </c>
      <c r="F5" s="321" t="s">
        <v>75</v>
      </c>
      <c r="G5" s="321" t="s">
        <v>75</v>
      </c>
      <c r="H5" s="321" t="s">
        <v>75</v>
      </c>
      <c r="I5" s="369" t="s">
        <v>74</v>
      </c>
      <c r="J5" s="369" t="s">
        <v>74</v>
      </c>
      <c r="K5" s="369" t="s">
        <v>74</v>
      </c>
      <c r="L5" s="369" t="s">
        <v>74</v>
      </c>
      <c r="M5" s="369" t="s">
        <v>74</v>
      </c>
      <c r="N5" s="321" t="s">
        <v>70</v>
      </c>
      <c r="O5" s="321" t="s">
        <v>70</v>
      </c>
      <c r="P5" s="321" t="s">
        <v>70</v>
      </c>
      <c r="Q5" s="369" t="s">
        <v>70</v>
      </c>
      <c r="R5" s="369" t="s">
        <v>70</v>
      </c>
      <c r="S5" s="321" t="s">
        <v>77</v>
      </c>
      <c r="T5" s="321" t="s">
        <v>77</v>
      </c>
      <c r="U5" s="321" t="s">
        <v>77</v>
      </c>
      <c r="V5" s="402" t="s">
        <v>77</v>
      </c>
      <c r="W5" s="402" t="s">
        <v>77</v>
      </c>
      <c r="X5" s="402" t="s">
        <v>62</v>
      </c>
      <c r="Y5" s="402" t="s">
        <v>62</v>
      </c>
      <c r="Z5" s="402" t="s">
        <v>62</v>
      </c>
      <c r="AA5" s="402" t="s">
        <v>62</v>
      </c>
      <c r="AB5" s="402" t="s">
        <v>62</v>
      </c>
    </row>
    <row r="6" spans="2:28" x14ac:dyDescent="0.3">
      <c r="B6" s="455" t="s">
        <v>243</v>
      </c>
      <c r="C6" s="321" t="s">
        <v>102</v>
      </c>
      <c r="D6" s="321" t="s">
        <v>102</v>
      </c>
      <c r="E6" s="321" t="s">
        <v>102</v>
      </c>
      <c r="F6" s="321" t="s">
        <v>102</v>
      </c>
      <c r="G6" s="321" t="s">
        <v>102</v>
      </c>
      <c r="H6" s="321" t="s">
        <v>102</v>
      </c>
      <c r="I6" s="369" t="s">
        <v>103</v>
      </c>
      <c r="J6" s="369" t="s">
        <v>103</v>
      </c>
      <c r="K6" s="369" t="s">
        <v>103</v>
      </c>
      <c r="L6" s="369" t="s">
        <v>103</v>
      </c>
      <c r="M6" s="369" t="s">
        <v>103</v>
      </c>
      <c r="N6" s="321" t="s">
        <v>104</v>
      </c>
      <c r="O6" s="321" t="s">
        <v>104</v>
      </c>
      <c r="P6" s="321" t="s">
        <v>104</v>
      </c>
      <c r="Q6" s="369" t="s">
        <v>104</v>
      </c>
      <c r="R6" s="369" t="s">
        <v>104</v>
      </c>
      <c r="S6" s="321" t="s">
        <v>104</v>
      </c>
      <c r="T6" s="321" t="s">
        <v>104</v>
      </c>
      <c r="U6" s="321" t="s">
        <v>104</v>
      </c>
      <c r="V6" s="402" t="s">
        <v>104</v>
      </c>
      <c r="W6" s="402" t="s">
        <v>104</v>
      </c>
      <c r="X6" s="402" t="s">
        <v>104</v>
      </c>
      <c r="Y6" s="402" t="s">
        <v>104</v>
      </c>
      <c r="Z6" s="402" t="s">
        <v>104</v>
      </c>
      <c r="AA6" s="402" t="s">
        <v>104</v>
      </c>
      <c r="AB6" s="402" t="s">
        <v>104</v>
      </c>
    </row>
    <row r="7" spans="2:28" x14ac:dyDescent="0.3">
      <c r="B7" s="458" t="s">
        <v>147</v>
      </c>
      <c r="C7" s="331">
        <f>ROUND(C8,0)</f>
        <v>133</v>
      </c>
      <c r="D7" s="331">
        <f t="shared" ref="D7:G7" si="0">ROUND(D8,0)</f>
        <v>144</v>
      </c>
      <c r="E7" s="331">
        <f t="shared" si="0"/>
        <v>144</v>
      </c>
      <c r="F7" s="331">
        <f t="shared" si="0"/>
        <v>156</v>
      </c>
      <c r="G7" s="331">
        <f t="shared" si="0"/>
        <v>166</v>
      </c>
      <c r="H7" s="331">
        <f t="shared" ref="H7" si="1">ROUND(H8,0)</f>
        <v>176</v>
      </c>
      <c r="I7" s="331">
        <f t="shared" ref="I7" si="2">ROUND(I8,0)</f>
        <v>110</v>
      </c>
      <c r="J7" s="331">
        <f t="shared" ref="J7:K7" si="3">ROUND(J8,0)</f>
        <v>119</v>
      </c>
      <c r="K7" s="331">
        <f t="shared" si="3"/>
        <v>128</v>
      </c>
      <c r="L7" s="331">
        <f t="shared" ref="L7" si="4">ROUND(L8,0)</f>
        <v>137</v>
      </c>
      <c r="M7" s="331">
        <f t="shared" ref="M7" si="5">ROUND(M8,0)</f>
        <v>145</v>
      </c>
      <c r="N7" s="331">
        <f t="shared" ref="N7:O7" si="6">ROUND(N8,0)</f>
        <v>94</v>
      </c>
      <c r="O7" s="331">
        <f t="shared" si="6"/>
        <v>102</v>
      </c>
      <c r="P7" s="331">
        <f>ROUND(P8,0)</f>
        <v>110</v>
      </c>
      <c r="Q7" s="331">
        <f t="shared" ref="Q7" si="7">ROUND(Q8,0)</f>
        <v>117</v>
      </c>
      <c r="R7" s="331">
        <f t="shared" ref="R7" si="8">ROUND(R8,0)</f>
        <v>125</v>
      </c>
      <c r="S7" s="331">
        <f t="shared" ref="S7" si="9">ROUND(S8,0)</f>
        <v>78</v>
      </c>
      <c r="T7" s="331">
        <f t="shared" ref="T7" si="10">ROUND(T8,0)</f>
        <v>85</v>
      </c>
      <c r="U7" s="331">
        <f t="shared" ref="U7" si="11">ROUND(U8,0)</f>
        <v>92</v>
      </c>
      <c r="V7" s="331">
        <f t="shared" ref="V7" si="12">ROUND(V8,0)</f>
        <v>98</v>
      </c>
      <c r="W7" s="331">
        <f t="shared" ref="W7" si="13">ROUND(W8,0)</f>
        <v>104</v>
      </c>
      <c r="X7" s="331">
        <f t="shared" ref="X7" si="14">ROUND(X8,0)</f>
        <v>67</v>
      </c>
      <c r="Y7" s="331">
        <f t="shared" ref="Y7" si="15">ROUND(Y8,0)</f>
        <v>73</v>
      </c>
      <c r="Z7" s="331">
        <f t="shared" ref="Z7" si="16">ROUND(Z8,0)</f>
        <v>79</v>
      </c>
      <c r="AA7" s="331">
        <f t="shared" ref="AA7" si="17">ROUND(AA8,0)</f>
        <v>84</v>
      </c>
      <c r="AB7" s="331">
        <f t="shared" ref="AB7" si="18">ROUND(AB8,0)</f>
        <v>89</v>
      </c>
    </row>
    <row r="8" spans="2:28" x14ac:dyDescent="0.3">
      <c r="B8" s="458" t="s">
        <v>147</v>
      </c>
      <c r="C8" s="289">
        <f t="shared" ref="C8:AB8" si="19">(0.24*C11+0.76*C12)*100</f>
        <v>132.88</v>
      </c>
      <c r="D8" s="289">
        <f t="shared" si="19"/>
        <v>144.08000000000001</v>
      </c>
      <c r="E8" s="289">
        <f t="shared" si="19"/>
        <v>144.08000000000001</v>
      </c>
      <c r="F8" s="289">
        <f t="shared" si="19"/>
        <v>155.63999999999999</v>
      </c>
      <c r="G8" s="289">
        <f t="shared" si="19"/>
        <v>166.4</v>
      </c>
      <c r="H8" s="289">
        <f t="shared" si="19"/>
        <v>176.36</v>
      </c>
      <c r="I8" s="289">
        <f t="shared" si="19"/>
        <v>109.52</v>
      </c>
      <c r="J8" s="289">
        <f t="shared" si="19"/>
        <v>118.96</v>
      </c>
      <c r="K8" s="289">
        <f t="shared" si="19"/>
        <v>128.12</v>
      </c>
      <c r="L8" s="289">
        <f t="shared" si="19"/>
        <v>137.04000000000002</v>
      </c>
      <c r="M8" s="289">
        <f t="shared" si="19"/>
        <v>145.44</v>
      </c>
      <c r="N8" s="289">
        <f t="shared" si="19"/>
        <v>93.72</v>
      </c>
      <c r="O8" s="289">
        <f t="shared" si="19"/>
        <v>102.08</v>
      </c>
      <c r="P8" s="289">
        <f t="shared" si="19"/>
        <v>109.96</v>
      </c>
      <c r="Q8" s="289">
        <f t="shared" si="19"/>
        <v>117.48</v>
      </c>
      <c r="R8" s="289">
        <f t="shared" si="19"/>
        <v>124.64</v>
      </c>
      <c r="S8" s="289">
        <f t="shared" si="19"/>
        <v>78.039999999999992</v>
      </c>
      <c r="T8" s="289">
        <f t="shared" si="19"/>
        <v>85.16</v>
      </c>
      <c r="U8" s="289">
        <f t="shared" si="19"/>
        <v>91.64</v>
      </c>
      <c r="V8" s="289">
        <f t="shared" si="19"/>
        <v>97.839999999999989</v>
      </c>
      <c r="W8" s="289">
        <f t="shared" si="19"/>
        <v>104.03999999999999</v>
      </c>
      <c r="X8" s="289">
        <f t="shared" si="19"/>
        <v>67.320000000000007</v>
      </c>
      <c r="Y8" s="289">
        <f t="shared" si="19"/>
        <v>73.240000000000009</v>
      </c>
      <c r="Z8" s="289">
        <f t="shared" si="19"/>
        <v>78.72</v>
      </c>
      <c r="AA8" s="289">
        <f t="shared" si="19"/>
        <v>84.2</v>
      </c>
      <c r="AB8" s="289">
        <f t="shared" si="19"/>
        <v>89.4</v>
      </c>
    </row>
    <row r="9" spans="2:28" x14ac:dyDescent="0.3">
      <c r="B9" s="458" t="s">
        <v>244</v>
      </c>
      <c r="C9" s="277">
        <f>ROUND(C10,0)</f>
        <v>243</v>
      </c>
      <c r="D9" s="277">
        <f t="shared" ref="D9:AB9" si="20">ROUND(D10,0)</f>
        <v>262</v>
      </c>
      <c r="E9" s="277">
        <f t="shared" si="20"/>
        <v>262</v>
      </c>
      <c r="F9" s="277">
        <f t="shared" si="20"/>
        <v>287</v>
      </c>
      <c r="G9" s="277">
        <f t="shared" si="20"/>
        <v>311</v>
      </c>
      <c r="H9" s="277">
        <f t="shared" si="20"/>
        <v>336</v>
      </c>
      <c r="I9" s="277">
        <f t="shared" si="20"/>
        <v>201</v>
      </c>
      <c r="J9" s="277">
        <f t="shared" si="20"/>
        <v>218</v>
      </c>
      <c r="K9" s="277">
        <f t="shared" si="20"/>
        <v>236</v>
      </c>
      <c r="L9" s="277">
        <f t="shared" si="20"/>
        <v>260</v>
      </c>
      <c r="M9" s="277">
        <f t="shared" si="20"/>
        <v>276</v>
      </c>
      <c r="N9" s="277">
        <f t="shared" si="20"/>
        <v>170</v>
      </c>
      <c r="O9" s="277">
        <f t="shared" si="20"/>
        <v>188</v>
      </c>
      <c r="P9" s="277">
        <f t="shared" si="20"/>
        <v>204</v>
      </c>
      <c r="Q9" s="277">
        <f t="shared" si="20"/>
        <v>223</v>
      </c>
      <c r="R9" s="277">
        <f t="shared" si="20"/>
        <v>237</v>
      </c>
      <c r="S9" s="277">
        <f t="shared" si="20"/>
        <v>143</v>
      </c>
      <c r="T9" s="277">
        <f t="shared" si="20"/>
        <v>158</v>
      </c>
      <c r="U9" s="277">
        <f t="shared" si="20"/>
        <v>169</v>
      </c>
      <c r="V9" s="277">
        <f t="shared" si="20"/>
        <v>181</v>
      </c>
      <c r="W9" s="277">
        <f t="shared" si="20"/>
        <v>192</v>
      </c>
      <c r="X9" s="277">
        <f t="shared" si="20"/>
        <v>125</v>
      </c>
      <c r="Y9" s="277">
        <f t="shared" si="20"/>
        <v>137</v>
      </c>
      <c r="Z9" s="277">
        <f t="shared" si="20"/>
        <v>146</v>
      </c>
      <c r="AA9" s="277">
        <f t="shared" si="20"/>
        <v>155</v>
      </c>
      <c r="AB9" s="277">
        <f t="shared" si="20"/>
        <v>165</v>
      </c>
    </row>
    <row r="10" spans="2:28" x14ac:dyDescent="0.3">
      <c r="B10" s="458" t="s">
        <v>244</v>
      </c>
      <c r="C10" s="275">
        <v>243.03180952380953</v>
      </c>
      <c r="D10" s="404">
        <v>262.44380952380953</v>
      </c>
      <c r="E10" s="404">
        <v>262.41428571428571</v>
      </c>
      <c r="F10" s="312">
        <v>286.64742857142852</v>
      </c>
      <c r="G10" s="312">
        <v>311.08723809523809</v>
      </c>
      <c r="H10" s="312">
        <v>335.71409523809524</v>
      </c>
      <c r="I10" s="275">
        <v>201.44095238095233</v>
      </c>
      <c r="J10" s="404">
        <v>218.33619047619052</v>
      </c>
      <c r="K10" s="291">
        <v>235.68857142857141</v>
      </c>
      <c r="L10" s="291">
        <v>259.86857142857144</v>
      </c>
      <c r="M10" s="291">
        <v>276.29809523809519</v>
      </c>
      <c r="N10" s="291">
        <v>170.12857142857143</v>
      </c>
      <c r="O10" s="291">
        <v>187.7304761904762</v>
      </c>
      <c r="P10" s="291">
        <v>203.94057142857142</v>
      </c>
      <c r="Q10" s="291">
        <v>222.8609523809524</v>
      </c>
      <c r="R10" s="291">
        <v>236.99619047619043</v>
      </c>
      <c r="S10" s="291">
        <v>142.93104761904763</v>
      </c>
      <c r="T10" s="399">
        <v>158.23638095238098</v>
      </c>
      <c r="U10" s="291">
        <v>169.18761904761905</v>
      </c>
      <c r="V10" s="405">
        <v>180.57523809523806</v>
      </c>
      <c r="W10" s="405">
        <v>191.96761904761905</v>
      </c>
      <c r="X10" s="405">
        <v>124.87142857142857</v>
      </c>
      <c r="Y10" s="406">
        <v>136.75066666666669</v>
      </c>
      <c r="Z10" s="405">
        <v>146.11199999999999</v>
      </c>
      <c r="AA10" s="405">
        <v>155.43238095238095</v>
      </c>
      <c r="AB10" s="405">
        <v>165.22476190476189</v>
      </c>
    </row>
    <row r="11" spans="2:28" x14ac:dyDescent="0.3">
      <c r="B11" s="458" t="s">
        <v>246</v>
      </c>
      <c r="C11" s="275">
        <v>1.99</v>
      </c>
      <c r="D11" s="275">
        <v>2.14</v>
      </c>
      <c r="E11" s="275">
        <v>2.14</v>
      </c>
      <c r="F11" s="275">
        <v>2.4</v>
      </c>
      <c r="G11" s="275">
        <v>2.69</v>
      </c>
      <c r="H11" s="275">
        <v>3.01</v>
      </c>
      <c r="I11" s="275">
        <v>1.65</v>
      </c>
      <c r="J11" s="275">
        <v>1.79</v>
      </c>
      <c r="K11" s="275">
        <v>1.95</v>
      </c>
      <c r="L11" s="275">
        <v>2.29</v>
      </c>
      <c r="M11" s="275">
        <v>2.4500000000000002</v>
      </c>
      <c r="N11" s="275">
        <v>1.34</v>
      </c>
      <c r="O11" s="275">
        <v>1.53</v>
      </c>
      <c r="P11" s="275">
        <v>1.7</v>
      </c>
      <c r="Q11" s="275">
        <v>1.95</v>
      </c>
      <c r="R11" s="275">
        <v>2.09</v>
      </c>
      <c r="S11" s="275">
        <v>1.1299999999999999</v>
      </c>
      <c r="T11" s="275">
        <v>1.3</v>
      </c>
      <c r="U11" s="275">
        <v>1.38</v>
      </c>
      <c r="V11" s="415">
        <v>1.48</v>
      </c>
      <c r="W11" s="415">
        <v>1.58</v>
      </c>
      <c r="X11" s="415">
        <v>1</v>
      </c>
      <c r="Y11" s="415">
        <v>1.1200000000000001</v>
      </c>
      <c r="Z11" s="415">
        <v>1.19</v>
      </c>
      <c r="AA11" s="415">
        <v>1.26</v>
      </c>
      <c r="AB11" s="415">
        <v>1.35</v>
      </c>
    </row>
    <row r="12" spans="2:28" ht="28.8" x14ac:dyDescent="0.3">
      <c r="B12" s="458" t="s">
        <v>170</v>
      </c>
      <c r="C12" s="275">
        <v>1.1200000000000001</v>
      </c>
      <c r="D12" s="404">
        <v>1.22</v>
      </c>
      <c r="E12" s="404">
        <v>1.22</v>
      </c>
      <c r="F12" s="312">
        <v>1.29</v>
      </c>
      <c r="G12" s="312">
        <v>1.34</v>
      </c>
      <c r="H12" s="291">
        <v>1.37</v>
      </c>
      <c r="I12" s="291">
        <v>0.92</v>
      </c>
      <c r="J12" s="291">
        <v>1</v>
      </c>
      <c r="K12" s="291">
        <v>1.07</v>
      </c>
      <c r="L12" s="291">
        <v>1.08</v>
      </c>
      <c r="M12" s="291">
        <v>1.1399999999999999</v>
      </c>
      <c r="N12" s="291">
        <v>0.81</v>
      </c>
      <c r="O12" s="291">
        <v>0.86</v>
      </c>
      <c r="P12" s="291">
        <v>0.91</v>
      </c>
      <c r="Q12" s="291">
        <v>0.93</v>
      </c>
      <c r="R12" s="291">
        <v>0.98</v>
      </c>
      <c r="S12" s="291">
        <v>0.67</v>
      </c>
      <c r="T12" s="464">
        <v>0.71</v>
      </c>
      <c r="U12" s="291">
        <v>0.77</v>
      </c>
      <c r="V12" s="405">
        <v>0.82</v>
      </c>
      <c r="W12" s="405">
        <v>0.87</v>
      </c>
      <c r="X12" s="405">
        <v>0.56999999999999995</v>
      </c>
      <c r="Y12" s="465">
        <v>0.61</v>
      </c>
      <c r="Z12" s="405">
        <v>0.66</v>
      </c>
      <c r="AA12" s="405">
        <v>0.71</v>
      </c>
      <c r="AB12" s="405">
        <v>0.75</v>
      </c>
    </row>
    <row r="13" spans="2:28" x14ac:dyDescent="0.3">
      <c r="B13" s="458" t="s">
        <v>172</v>
      </c>
      <c r="C13" s="277">
        <v>138.16</v>
      </c>
      <c r="D13" s="284">
        <v>150.4</v>
      </c>
      <c r="E13" s="284">
        <v>171.6</v>
      </c>
      <c r="F13" s="343">
        <v>167.04</v>
      </c>
      <c r="G13" s="343">
        <v>176.07999999999998</v>
      </c>
      <c r="H13" s="331">
        <v>210.04</v>
      </c>
      <c r="I13" s="343">
        <v>133</v>
      </c>
      <c r="J13" s="343">
        <v>145.4</v>
      </c>
      <c r="K13" s="331">
        <v>157.79999999999998</v>
      </c>
      <c r="L13" s="331">
        <v>184.8</v>
      </c>
      <c r="M13" s="331">
        <v>200.8</v>
      </c>
      <c r="N13" s="331">
        <v>134.4</v>
      </c>
      <c r="O13" s="331">
        <v>129.19999999999999</v>
      </c>
      <c r="P13" s="331">
        <v>142.68</v>
      </c>
      <c r="Q13" s="331">
        <v>173.8</v>
      </c>
      <c r="R13" s="331">
        <v>193.39999999999998</v>
      </c>
      <c r="S13" s="331">
        <v>130.28</v>
      </c>
      <c r="T13" s="399">
        <v>134.92000000000002</v>
      </c>
      <c r="U13" s="331">
        <v>147.80000000000001</v>
      </c>
      <c r="V13" s="401">
        <v>173.8</v>
      </c>
      <c r="W13" s="401">
        <v>193.39999999999998</v>
      </c>
      <c r="X13" s="401">
        <v>134.4</v>
      </c>
      <c r="Y13" s="406">
        <v>134.92000000000002</v>
      </c>
      <c r="Z13" s="401">
        <v>142.68</v>
      </c>
      <c r="AA13" s="401">
        <v>173.8</v>
      </c>
      <c r="AB13" s="401">
        <v>193.39999999999998</v>
      </c>
    </row>
    <row r="14" spans="2:28" x14ac:dyDescent="0.3">
      <c r="B14" s="458" t="s">
        <v>105</v>
      </c>
      <c r="C14" s="411">
        <v>202</v>
      </c>
      <c r="D14" s="411">
        <v>215</v>
      </c>
      <c r="E14" s="411">
        <v>240</v>
      </c>
      <c r="F14" s="411">
        <v>240</v>
      </c>
      <c r="G14" s="411">
        <v>265</v>
      </c>
      <c r="H14" s="411">
        <v>340</v>
      </c>
      <c r="I14" s="411">
        <v>190</v>
      </c>
      <c r="J14" s="411">
        <v>210</v>
      </c>
      <c r="K14" s="411">
        <v>230</v>
      </c>
      <c r="L14" s="411">
        <v>295</v>
      </c>
      <c r="M14" s="411">
        <v>330</v>
      </c>
      <c r="N14" s="411">
        <v>180</v>
      </c>
      <c r="O14" s="411">
        <v>190</v>
      </c>
      <c r="P14" s="411">
        <v>205</v>
      </c>
      <c r="Q14" s="411">
        <v>265</v>
      </c>
      <c r="R14" s="411">
        <v>315</v>
      </c>
      <c r="S14" s="411">
        <v>185</v>
      </c>
      <c r="T14" s="411">
        <v>198</v>
      </c>
      <c r="U14" s="411">
        <v>220</v>
      </c>
      <c r="V14" s="417">
        <v>265</v>
      </c>
      <c r="W14" s="417">
        <v>315</v>
      </c>
      <c r="X14" s="417">
        <v>180</v>
      </c>
      <c r="Y14" s="417">
        <v>198</v>
      </c>
      <c r="Z14" s="417">
        <v>205</v>
      </c>
      <c r="AA14" s="417">
        <v>265</v>
      </c>
      <c r="AB14" s="417">
        <v>315</v>
      </c>
    </row>
    <row r="15" spans="2:28" x14ac:dyDescent="0.3">
      <c r="B15" s="458" t="s">
        <v>106</v>
      </c>
      <c r="C15" s="410">
        <v>118</v>
      </c>
      <c r="D15" s="410">
        <v>130</v>
      </c>
      <c r="E15" s="410">
        <v>150</v>
      </c>
      <c r="F15" s="410">
        <v>144</v>
      </c>
      <c r="G15" s="410">
        <v>148</v>
      </c>
      <c r="H15" s="410">
        <v>169</v>
      </c>
      <c r="I15" s="411">
        <v>115</v>
      </c>
      <c r="J15" s="411">
        <v>125</v>
      </c>
      <c r="K15" s="331">
        <v>135</v>
      </c>
      <c r="L15" s="331">
        <v>150</v>
      </c>
      <c r="M15" s="331">
        <v>160</v>
      </c>
      <c r="N15" s="411">
        <v>120</v>
      </c>
      <c r="O15" s="411">
        <v>110</v>
      </c>
      <c r="P15" s="411">
        <v>123</v>
      </c>
      <c r="Q15" s="331">
        <v>145</v>
      </c>
      <c r="R15" s="331">
        <v>155</v>
      </c>
      <c r="S15" s="411">
        <v>113</v>
      </c>
      <c r="T15" s="399">
        <v>115</v>
      </c>
      <c r="U15" s="331">
        <v>125</v>
      </c>
      <c r="V15" s="401">
        <v>145</v>
      </c>
      <c r="W15" s="401">
        <v>155</v>
      </c>
      <c r="X15" s="417">
        <v>120</v>
      </c>
      <c r="Y15" s="406">
        <v>115</v>
      </c>
      <c r="Z15" s="401">
        <v>123</v>
      </c>
      <c r="AA15" s="401">
        <v>145</v>
      </c>
      <c r="AB15" s="401">
        <v>155</v>
      </c>
    </row>
    <row r="16" spans="2:28" x14ac:dyDescent="0.3">
      <c r="B16" s="458" t="s">
        <v>150</v>
      </c>
      <c r="C16" s="408">
        <f>C14/1440</f>
        <v>0.14027777777777778</v>
      </c>
      <c r="D16" s="408">
        <f t="shared" ref="D16:AB16" si="21">D14/1440</f>
        <v>0.14930555555555555</v>
      </c>
      <c r="E16" s="408">
        <f t="shared" si="21"/>
        <v>0.16666666666666666</v>
      </c>
      <c r="F16" s="408">
        <f t="shared" si="21"/>
        <v>0.16666666666666666</v>
      </c>
      <c r="G16" s="408">
        <f t="shared" si="21"/>
        <v>0.18402777777777779</v>
      </c>
      <c r="H16" s="408">
        <f t="shared" si="21"/>
        <v>0.2361111111111111</v>
      </c>
      <c r="I16" s="408">
        <f t="shared" si="21"/>
        <v>0.13194444444444445</v>
      </c>
      <c r="J16" s="408">
        <f t="shared" si="21"/>
        <v>0.14583333333333334</v>
      </c>
      <c r="K16" s="408">
        <f t="shared" si="21"/>
        <v>0.15972222222222221</v>
      </c>
      <c r="L16" s="408">
        <f t="shared" si="21"/>
        <v>0.2048611111111111</v>
      </c>
      <c r="M16" s="408">
        <f t="shared" si="21"/>
        <v>0.22916666666666666</v>
      </c>
      <c r="N16" s="408">
        <f t="shared" si="21"/>
        <v>0.125</v>
      </c>
      <c r="O16" s="408">
        <f t="shared" si="21"/>
        <v>0.13194444444444445</v>
      </c>
      <c r="P16" s="408">
        <f t="shared" si="21"/>
        <v>0.1423611111111111</v>
      </c>
      <c r="Q16" s="408">
        <f t="shared" si="21"/>
        <v>0.18402777777777779</v>
      </c>
      <c r="R16" s="408">
        <f t="shared" si="21"/>
        <v>0.21875</v>
      </c>
      <c r="S16" s="408">
        <f t="shared" si="21"/>
        <v>0.12847222222222221</v>
      </c>
      <c r="T16" s="408">
        <f t="shared" si="21"/>
        <v>0.13750000000000001</v>
      </c>
      <c r="U16" s="408">
        <f t="shared" si="21"/>
        <v>0.15277777777777779</v>
      </c>
      <c r="V16" s="408">
        <f t="shared" si="21"/>
        <v>0.18402777777777779</v>
      </c>
      <c r="W16" s="408">
        <f t="shared" si="21"/>
        <v>0.21875</v>
      </c>
      <c r="X16" s="408">
        <f t="shared" si="21"/>
        <v>0.125</v>
      </c>
      <c r="Y16" s="408">
        <f t="shared" si="21"/>
        <v>0.13750000000000001</v>
      </c>
      <c r="Z16" s="408">
        <f t="shared" si="21"/>
        <v>0.1423611111111111</v>
      </c>
      <c r="AA16" s="408">
        <f t="shared" si="21"/>
        <v>0.18402777777777779</v>
      </c>
      <c r="AB16" s="408">
        <f t="shared" si="21"/>
        <v>0.21875</v>
      </c>
    </row>
    <row r="17" spans="2:28" x14ac:dyDescent="0.3">
      <c r="B17" s="459" t="s">
        <v>142</v>
      </c>
      <c r="C17" s="284" t="s">
        <v>70</v>
      </c>
      <c r="D17" s="284" t="s">
        <v>70</v>
      </c>
      <c r="E17" s="284" t="s">
        <v>70</v>
      </c>
      <c r="F17" s="284" t="s">
        <v>70</v>
      </c>
      <c r="G17" s="284" t="s">
        <v>70</v>
      </c>
      <c r="H17" s="331" t="s">
        <v>70</v>
      </c>
      <c r="I17" s="331" t="s">
        <v>77</v>
      </c>
      <c r="J17" s="331" t="s">
        <v>77</v>
      </c>
      <c r="K17" s="331" t="s">
        <v>77</v>
      </c>
      <c r="L17" s="331" t="s">
        <v>77</v>
      </c>
      <c r="M17" s="331" t="s">
        <v>77</v>
      </c>
      <c r="N17" s="331" t="s">
        <v>77</v>
      </c>
      <c r="O17" s="331" t="s">
        <v>77</v>
      </c>
      <c r="P17" s="331" t="s">
        <v>77</v>
      </c>
      <c r="Q17" s="331" t="s">
        <v>77</v>
      </c>
      <c r="R17" s="331" t="s">
        <v>77</v>
      </c>
      <c r="S17" s="331" t="s">
        <v>77</v>
      </c>
      <c r="T17" s="331" t="s">
        <v>77</v>
      </c>
      <c r="U17" s="331" t="s">
        <v>77</v>
      </c>
      <c r="V17" s="401" t="s">
        <v>77</v>
      </c>
      <c r="W17" s="401" t="s">
        <v>77</v>
      </c>
      <c r="X17" s="401" t="s">
        <v>77</v>
      </c>
      <c r="Y17" s="401" t="s">
        <v>77</v>
      </c>
      <c r="Z17" s="401" t="s">
        <v>77</v>
      </c>
      <c r="AA17" s="401" t="s">
        <v>77</v>
      </c>
      <c r="AB17" s="401" t="s">
        <v>77</v>
      </c>
    </row>
    <row r="18" spans="2:28" x14ac:dyDescent="0.3">
      <c r="B18" s="459" t="s">
        <v>107</v>
      </c>
      <c r="C18" s="284">
        <v>84</v>
      </c>
      <c r="D18" s="284">
        <v>84</v>
      </c>
      <c r="E18" s="284">
        <v>84</v>
      </c>
      <c r="F18" s="284">
        <v>84</v>
      </c>
      <c r="G18" s="284">
        <v>84</v>
      </c>
      <c r="H18" s="331">
        <v>84</v>
      </c>
      <c r="I18" s="331">
        <v>88</v>
      </c>
      <c r="J18" s="331">
        <v>88</v>
      </c>
      <c r="K18" s="331">
        <v>88</v>
      </c>
      <c r="L18" s="331">
        <v>88</v>
      </c>
      <c r="M18" s="331">
        <v>88</v>
      </c>
      <c r="N18" s="331">
        <v>88</v>
      </c>
      <c r="O18" s="331">
        <v>88</v>
      </c>
      <c r="P18" s="277">
        <v>88</v>
      </c>
      <c r="Q18" s="277">
        <v>88</v>
      </c>
      <c r="R18" s="277">
        <v>88</v>
      </c>
      <c r="S18" s="277">
        <v>88</v>
      </c>
      <c r="T18" s="277">
        <v>88</v>
      </c>
      <c r="U18" s="277">
        <v>88</v>
      </c>
      <c r="V18" s="407">
        <v>88</v>
      </c>
      <c r="W18" s="407">
        <v>88</v>
      </c>
      <c r="X18" s="407">
        <v>88</v>
      </c>
      <c r="Y18" s="407">
        <v>88</v>
      </c>
      <c r="Z18" s="407">
        <v>88</v>
      </c>
      <c r="AA18" s="407">
        <v>88</v>
      </c>
      <c r="AB18" s="407">
        <v>88</v>
      </c>
    </row>
    <row r="19" spans="2:28" x14ac:dyDescent="0.3">
      <c r="B19" s="459" t="s">
        <v>108</v>
      </c>
      <c r="C19" s="277">
        <v>84</v>
      </c>
      <c r="D19" s="284">
        <v>84</v>
      </c>
      <c r="E19" s="284">
        <v>84</v>
      </c>
      <c r="F19" s="284">
        <v>84</v>
      </c>
      <c r="G19" s="284">
        <v>84</v>
      </c>
      <c r="H19" s="331">
        <v>84</v>
      </c>
      <c r="I19" s="277">
        <v>88</v>
      </c>
      <c r="J19" s="284">
        <v>88</v>
      </c>
      <c r="K19" s="331">
        <v>88</v>
      </c>
      <c r="L19" s="331">
        <v>88</v>
      </c>
      <c r="M19" s="331">
        <v>88</v>
      </c>
      <c r="N19" s="331">
        <v>88</v>
      </c>
      <c r="O19" s="284">
        <v>88</v>
      </c>
      <c r="P19" s="331">
        <v>88</v>
      </c>
      <c r="Q19" s="331">
        <v>88</v>
      </c>
      <c r="R19" s="331">
        <v>88</v>
      </c>
      <c r="S19" s="331">
        <v>88</v>
      </c>
      <c r="T19" s="399">
        <v>88</v>
      </c>
      <c r="U19" s="331">
        <v>88</v>
      </c>
      <c r="V19" s="401">
        <v>88</v>
      </c>
      <c r="W19" s="401">
        <v>88</v>
      </c>
      <c r="X19" s="401">
        <v>88</v>
      </c>
      <c r="Y19" s="406">
        <v>88</v>
      </c>
      <c r="Z19" s="401">
        <v>88</v>
      </c>
      <c r="AA19" s="401">
        <v>88</v>
      </c>
      <c r="AB19" s="401">
        <v>88</v>
      </c>
    </row>
    <row r="20" spans="2:28" x14ac:dyDescent="0.3">
      <c r="B20" s="459" t="s">
        <v>109</v>
      </c>
      <c r="C20" s="284">
        <v>84</v>
      </c>
      <c r="D20" s="284">
        <v>84</v>
      </c>
      <c r="E20" s="284">
        <v>84</v>
      </c>
      <c r="F20" s="284">
        <v>84</v>
      </c>
      <c r="G20" s="284">
        <v>84</v>
      </c>
      <c r="H20" s="284">
        <v>84</v>
      </c>
      <c r="I20" s="284">
        <v>88</v>
      </c>
      <c r="J20" s="284">
        <v>88</v>
      </c>
      <c r="K20" s="331">
        <v>88</v>
      </c>
      <c r="L20" s="331">
        <v>88</v>
      </c>
      <c r="M20" s="331">
        <v>88</v>
      </c>
      <c r="N20" s="284">
        <v>88</v>
      </c>
      <c r="O20" s="284">
        <v>88</v>
      </c>
      <c r="P20" s="284">
        <v>88</v>
      </c>
      <c r="Q20" s="331">
        <v>88</v>
      </c>
      <c r="R20" s="331">
        <v>88</v>
      </c>
      <c r="S20" s="284">
        <v>88</v>
      </c>
      <c r="T20" s="399">
        <v>88</v>
      </c>
      <c r="U20" s="331">
        <v>88</v>
      </c>
      <c r="V20" s="401">
        <v>88</v>
      </c>
      <c r="W20" s="401">
        <v>88</v>
      </c>
      <c r="X20" s="418">
        <v>88</v>
      </c>
      <c r="Y20" s="406">
        <v>88</v>
      </c>
      <c r="Z20" s="401">
        <v>88</v>
      </c>
      <c r="AA20" s="401">
        <v>88</v>
      </c>
      <c r="AB20" s="401">
        <v>88</v>
      </c>
    </row>
    <row r="21" spans="2:28" x14ac:dyDescent="0.3">
      <c r="B21" s="458" t="s">
        <v>110</v>
      </c>
      <c r="C21" s="277">
        <v>67</v>
      </c>
      <c r="D21" s="277">
        <v>67</v>
      </c>
      <c r="E21" s="277">
        <v>67</v>
      </c>
      <c r="F21" s="277">
        <v>66</v>
      </c>
      <c r="G21" s="277">
        <v>66</v>
      </c>
      <c r="H21" s="277">
        <v>66</v>
      </c>
      <c r="I21" s="277">
        <v>66</v>
      </c>
      <c r="J21" s="277">
        <v>66</v>
      </c>
      <c r="K21" s="331">
        <v>66</v>
      </c>
      <c r="L21" s="331">
        <v>64</v>
      </c>
      <c r="M21" s="331">
        <v>64</v>
      </c>
      <c r="N21" s="277">
        <v>63</v>
      </c>
      <c r="O21" s="277">
        <v>63</v>
      </c>
      <c r="P21" s="277">
        <v>63</v>
      </c>
      <c r="Q21" s="331">
        <v>63</v>
      </c>
      <c r="R21" s="331">
        <v>63</v>
      </c>
      <c r="S21" s="277">
        <v>63</v>
      </c>
      <c r="T21" s="331">
        <v>63</v>
      </c>
      <c r="U21" s="331">
        <v>63</v>
      </c>
      <c r="V21" s="401">
        <v>63</v>
      </c>
      <c r="W21" s="401">
        <v>63</v>
      </c>
      <c r="X21" s="407">
        <v>64</v>
      </c>
      <c r="Y21" s="401">
        <v>63</v>
      </c>
      <c r="Z21" s="401">
        <v>63</v>
      </c>
      <c r="AA21" s="401">
        <v>63</v>
      </c>
      <c r="AB21" s="401">
        <v>63</v>
      </c>
    </row>
    <row r="22" spans="2:28" x14ac:dyDescent="0.3">
      <c r="B22" s="458" t="s">
        <v>143</v>
      </c>
      <c r="C22" s="275" t="s">
        <v>70</v>
      </c>
      <c r="D22" s="275" t="s">
        <v>70</v>
      </c>
      <c r="E22" s="275" t="s">
        <v>70</v>
      </c>
      <c r="F22" s="275" t="s">
        <v>70</v>
      </c>
      <c r="G22" s="275" t="s">
        <v>70</v>
      </c>
      <c r="H22" s="275" t="s">
        <v>70</v>
      </c>
      <c r="I22" s="275" t="s">
        <v>70</v>
      </c>
      <c r="J22" s="275" t="s">
        <v>70</v>
      </c>
      <c r="K22" s="291" t="s">
        <v>70</v>
      </c>
      <c r="L22" s="291" t="s">
        <v>77</v>
      </c>
      <c r="M22" s="291" t="s">
        <v>77</v>
      </c>
      <c r="N22" s="275" t="s">
        <v>77</v>
      </c>
      <c r="O22" s="275" t="s">
        <v>77</v>
      </c>
      <c r="P22" s="275" t="s">
        <v>77</v>
      </c>
      <c r="Q22" s="291" t="s">
        <v>77</v>
      </c>
      <c r="R22" s="291" t="s">
        <v>77</v>
      </c>
      <c r="S22" s="275" t="s">
        <v>77</v>
      </c>
      <c r="T22" s="291" t="s">
        <v>77</v>
      </c>
      <c r="U22" s="291" t="s">
        <v>77</v>
      </c>
      <c r="V22" s="405" t="s">
        <v>77</v>
      </c>
      <c r="W22" s="405" t="s">
        <v>77</v>
      </c>
      <c r="X22" s="415" t="s">
        <v>77</v>
      </c>
      <c r="Y22" s="405" t="s">
        <v>77</v>
      </c>
      <c r="Z22" s="405" t="s">
        <v>77</v>
      </c>
      <c r="AA22" s="405" t="s">
        <v>77</v>
      </c>
      <c r="AB22" s="405" t="s">
        <v>77</v>
      </c>
    </row>
    <row r="23" spans="2:28" x14ac:dyDescent="0.3">
      <c r="B23" s="458" t="s">
        <v>111</v>
      </c>
      <c r="C23" s="412">
        <v>0.5</v>
      </c>
      <c r="D23" s="277">
        <v>0.5</v>
      </c>
      <c r="E23" s="277">
        <v>0.5</v>
      </c>
      <c r="F23" s="277">
        <v>0.5</v>
      </c>
      <c r="G23" s="277">
        <v>0.5</v>
      </c>
      <c r="H23" s="412">
        <v>0.5</v>
      </c>
      <c r="I23" s="412">
        <v>0.5</v>
      </c>
      <c r="J23" s="277">
        <v>0.5</v>
      </c>
      <c r="K23" s="331">
        <v>0.5</v>
      </c>
      <c r="L23" s="331">
        <v>0.5</v>
      </c>
      <c r="M23" s="331">
        <v>0.5</v>
      </c>
      <c r="N23" s="411">
        <v>0.5</v>
      </c>
      <c r="O23" s="411">
        <v>0.5</v>
      </c>
      <c r="P23" s="411">
        <v>0.5</v>
      </c>
      <c r="Q23" s="331">
        <v>0.5</v>
      </c>
      <c r="R23" s="331">
        <v>0.5</v>
      </c>
      <c r="S23" s="411">
        <v>0.5</v>
      </c>
      <c r="T23" s="399">
        <v>0.5</v>
      </c>
      <c r="U23" s="331">
        <v>0.5</v>
      </c>
      <c r="V23" s="401">
        <v>0.5</v>
      </c>
      <c r="W23" s="401">
        <v>0.5</v>
      </c>
      <c r="X23" s="417">
        <v>0.5</v>
      </c>
      <c r="Y23" s="406">
        <v>0.5</v>
      </c>
      <c r="Z23" s="401">
        <v>0.5</v>
      </c>
      <c r="AA23" s="401">
        <v>0.5</v>
      </c>
      <c r="AB23" s="401">
        <v>0.5</v>
      </c>
    </row>
    <row r="24" spans="2:28" x14ac:dyDescent="0.3">
      <c r="B24" s="458" t="s">
        <v>112</v>
      </c>
      <c r="C24" s="275">
        <v>0.5</v>
      </c>
      <c r="D24" s="300">
        <v>0.5</v>
      </c>
      <c r="E24" s="300">
        <v>0.5</v>
      </c>
      <c r="F24" s="300">
        <v>0.5</v>
      </c>
      <c r="G24" s="300">
        <v>0.5</v>
      </c>
      <c r="H24" s="300">
        <v>0.5</v>
      </c>
      <c r="I24" s="275">
        <v>0.5</v>
      </c>
      <c r="J24" s="300">
        <v>0.5</v>
      </c>
      <c r="K24" s="300">
        <v>0.5</v>
      </c>
      <c r="L24" s="300">
        <v>0.5</v>
      </c>
      <c r="M24" s="300">
        <v>0.5</v>
      </c>
      <c r="N24" s="291">
        <v>0.5</v>
      </c>
      <c r="O24" s="291">
        <v>0.5</v>
      </c>
      <c r="P24" s="291">
        <v>0.5</v>
      </c>
      <c r="Q24" s="291">
        <v>0.5</v>
      </c>
      <c r="R24" s="291">
        <v>0.5</v>
      </c>
      <c r="S24" s="291">
        <v>0.5</v>
      </c>
      <c r="T24" s="300">
        <v>0.5</v>
      </c>
      <c r="U24" s="300">
        <v>0.5</v>
      </c>
      <c r="V24" s="413">
        <v>0.5</v>
      </c>
      <c r="W24" s="413">
        <v>0.5</v>
      </c>
      <c r="X24" s="405">
        <v>0.5</v>
      </c>
      <c r="Y24" s="413">
        <v>0.5</v>
      </c>
      <c r="Z24" s="413">
        <v>0.5</v>
      </c>
      <c r="AA24" s="413">
        <v>0.5</v>
      </c>
      <c r="AB24" s="413">
        <v>0.5</v>
      </c>
    </row>
    <row r="25" spans="2:28" x14ac:dyDescent="0.3">
      <c r="B25" s="458" t="s">
        <v>113</v>
      </c>
      <c r="C25" s="277">
        <v>5</v>
      </c>
      <c r="D25" s="303">
        <v>5</v>
      </c>
      <c r="E25" s="303">
        <v>5</v>
      </c>
      <c r="F25" s="303">
        <v>5</v>
      </c>
      <c r="G25" s="303">
        <v>5</v>
      </c>
      <c r="H25" s="303">
        <v>5</v>
      </c>
      <c r="I25" s="277">
        <v>5</v>
      </c>
      <c r="J25" s="303">
        <v>5</v>
      </c>
      <c r="K25" s="303">
        <v>5</v>
      </c>
      <c r="L25" s="303">
        <v>5</v>
      </c>
      <c r="M25" s="303">
        <v>5</v>
      </c>
      <c r="N25" s="331">
        <v>5</v>
      </c>
      <c r="O25" s="331">
        <v>5</v>
      </c>
      <c r="P25" s="331">
        <v>5</v>
      </c>
      <c r="Q25" s="331">
        <v>5</v>
      </c>
      <c r="R25" s="331">
        <v>5</v>
      </c>
      <c r="S25" s="331">
        <v>5</v>
      </c>
      <c r="T25" s="303">
        <v>5</v>
      </c>
      <c r="U25" s="303">
        <v>5</v>
      </c>
      <c r="V25" s="414">
        <v>5</v>
      </c>
      <c r="W25" s="414">
        <v>5</v>
      </c>
      <c r="X25" s="401">
        <v>5</v>
      </c>
      <c r="Y25" s="414">
        <v>5</v>
      </c>
      <c r="Z25" s="414">
        <v>5</v>
      </c>
      <c r="AA25" s="414">
        <v>5</v>
      </c>
      <c r="AB25" s="414">
        <v>5</v>
      </c>
    </row>
    <row r="26" spans="2:28" x14ac:dyDescent="0.3">
      <c r="B26" s="458" t="s">
        <v>114</v>
      </c>
      <c r="C26" s="275">
        <v>2.4874999999999998</v>
      </c>
      <c r="D26" s="275">
        <v>2.6750000000000003</v>
      </c>
      <c r="E26" s="275">
        <v>2.6750000000000003</v>
      </c>
      <c r="F26" s="275">
        <v>3</v>
      </c>
      <c r="G26" s="275">
        <v>3.3624999999999998</v>
      </c>
      <c r="H26" s="275">
        <v>3.7624999999999997</v>
      </c>
      <c r="I26" s="275">
        <v>2.0625</v>
      </c>
      <c r="J26" s="275">
        <v>2.2374999999999998</v>
      </c>
      <c r="K26" s="275">
        <v>2.4375</v>
      </c>
      <c r="L26" s="275">
        <v>2.8624999999999998</v>
      </c>
      <c r="M26" s="275">
        <v>3.0625</v>
      </c>
      <c r="N26" s="291">
        <v>1.6884000000000001</v>
      </c>
      <c r="O26" s="291">
        <v>1.9278</v>
      </c>
      <c r="P26" s="291">
        <v>2.1419999999999999</v>
      </c>
      <c r="Q26" s="291">
        <v>2.4569999999999999</v>
      </c>
      <c r="R26" s="291">
        <v>2.6334</v>
      </c>
      <c r="S26" s="291">
        <v>1.4238</v>
      </c>
      <c r="T26" s="275">
        <v>1.625</v>
      </c>
      <c r="U26" s="275">
        <v>1.7249999999999999</v>
      </c>
      <c r="V26" s="415">
        <v>1.85</v>
      </c>
      <c r="W26" s="415">
        <v>1.9750000000000001</v>
      </c>
      <c r="X26" s="405">
        <v>1.26</v>
      </c>
      <c r="Y26" s="415">
        <v>1.4000000000000001</v>
      </c>
      <c r="Z26" s="415">
        <v>1.4874999999999998</v>
      </c>
      <c r="AA26" s="415">
        <v>1.575</v>
      </c>
      <c r="AB26" s="415">
        <v>1.6875</v>
      </c>
    </row>
    <row r="27" spans="2:28" x14ac:dyDescent="0.3">
      <c r="B27" s="458" t="s">
        <v>115</v>
      </c>
      <c r="C27" s="277">
        <v>252.5</v>
      </c>
      <c r="D27" s="277">
        <v>268.75</v>
      </c>
      <c r="E27" s="277">
        <v>300</v>
      </c>
      <c r="F27" s="277">
        <v>300</v>
      </c>
      <c r="G27" s="277">
        <v>331.25</v>
      </c>
      <c r="H27" s="277">
        <v>425</v>
      </c>
      <c r="I27" s="277">
        <v>237.5</v>
      </c>
      <c r="J27" s="277">
        <v>262.5</v>
      </c>
      <c r="K27" s="277">
        <v>287.5</v>
      </c>
      <c r="L27" s="277">
        <v>368.75</v>
      </c>
      <c r="M27" s="277">
        <v>412.5</v>
      </c>
      <c r="N27" s="331">
        <v>228.6</v>
      </c>
      <c r="O27" s="331">
        <v>241.3</v>
      </c>
      <c r="P27" s="331">
        <v>260.35000000000002</v>
      </c>
      <c r="Q27" s="331">
        <v>336.55</v>
      </c>
      <c r="R27" s="331">
        <v>400.05</v>
      </c>
      <c r="S27" s="331">
        <v>234.95000000000002</v>
      </c>
      <c r="T27" s="277">
        <v>247.5</v>
      </c>
      <c r="U27" s="277">
        <v>275</v>
      </c>
      <c r="V27" s="407">
        <v>331.25</v>
      </c>
      <c r="W27" s="407">
        <v>393.75</v>
      </c>
      <c r="X27" s="401">
        <v>228.6</v>
      </c>
      <c r="Y27" s="407">
        <v>247.5</v>
      </c>
      <c r="Z27" s="407">
        <v>256.25</v>
      </c>
      <c r="AA27" s="407">
        <v>331.25</v>
      </c>
      <c r="AB27" s="407">
        <v>393.75</v>
      </c>
    </row>
    <row r="28" spans="2:28" x14ac:dyDescent="0.3">
      <c r="B28" s="458" t="s">
        <v>116</v>
      </c>
      <c r="C28" s="275">
        <v>2.1890000000000001</v>
      </c>
      <c r="D28" s="275">
        <v>2.3540000000000005</v>
      </c>
      <c r="E28" s="275">
        <v>2.3540000000000005</v>
      </c>
      <c r="F28" s="275">
        <v>2.64</v>
      </c>
      <c r="G28" s="275">
        <v>2.9590000000000001</v>
      </c>
      <c r="H28" s="275">
        <v>3.3109999999999999</v>
      </c>
      <c r="I28" s="275">
        <v>1.8149999999999999</v>
      </c>
      <c r="J28" s="275">
        <v>1.9690000000000003</v>
      </c>
      <c r="K28" s="275">
        <v>2.145</v>
      </c>
      <c r="L28" s="275">
        <v>2.5190000000000001</v>
      </c>
      <c r="M28" s="275">
        <v>2.6950000000000003</v>
      </c>
      <c r="N28" s="291">
        <v>1.4740000000000002</v>
      </c>
      <c r="O28" s="291">
        <v>1.6830000000000003</v>
      </c>
      <c r="P28" s="291">
        <v>1.87</v>
      </c>
      <c r="Q28" s="291">
        <v>2.145</v>
      </c>
      <c r="R28" s="291">
        <v>2.2989999999999999</v>
      </c>
      <c r="S28" s="291">
        <v>1.2429999999999999</v>
      </c>
      <c r="T28" s="275">
        <v>1.4300000000000002</v>
      </c>
      <c r="U28" s="275">
        <v>1.518</v>
      </c>
      <c r="V28" s="415">
        <v>1.6280000000000001</v>
      </c>
      <c r="W28" s="415">
        <v>1.7380000000000002</v>
      </c>
      <c r="X28" s="405">
        <v>1.1000000000000001</v>
      </c>
      <c r="Y28" s="415">
        <v>1.2320000000000002</v>
      </c>
      <c r="Z28" s="415">
        <v>1.3089999999999999</v>
      </c>
      <c r="AA28" s="415">
        <v>1.3860000000000001</v>
      </c>
      <c r="AB28" s="415">
        <v>1.4850000000000003</v>
      </c>
    </row>
    <row r="29" spans="2:28" x14ac:dyDescent="0.3">
      <c r="B29" s="458" t="s">
        <v>115</v>
      </c>
      <c r="C29" s="277">
        <v>222.20000000000002</v>
      </c>
      <c r="D29" s="277">
        <v>236.50000000000003</v>
      </c>
      <c r="E29" s="277">
        <v>264</v>
      </c>
      <c r="F29" s="277">
        <v>264</v>
      </c>
      <c r="G29" s="277">
        <v>291.5</v>
      </c>
      <c r="H29" s="277">
        <v>374.00000000000006</v>
      </c>
      <c r="I29" s="277">
        <v>209.00000000000003</v>
      </c>
      <c r="J29" s="277">
        <v>231.00000000000003</v>
      </c>
      <c r="K29" s="277">
        <v>253.00000000000003</v>
      </c>
      <c r="L29" s="277">
        <v>324.5</v>
      </c>
      <c r="M29" s="277">
        <v>363.00000000000006</v>
      </c>
      <c r="N29" s="331">
        <v>206.99999999999997</v>
      </c>
      <c r="O29" s="411">
        <v>218.49999999999997</v>
      </c>
      <c r="P29" s="411">
        <v>235.74999999999997</v>
      </c>
      <c r="Q29" s="411">
        <v>304.75</v>
      </c>
      <c r="R29" s="411">
        <v>362.25</v>
      </c>
      <c r="S29" s="331">
        <v>212.74999999999997</v>
      </c>
      <c r="T29" s="277">
        <v>217.8</v>
      </c>
      <c r="U29" s="277">
        <v>242.00000000000003</v>
      </c>
      <c r="V29" s="407">
        <v>291.5</v>
      </c>
      <c r="W29" s="407">
        <v>346.5</v>
      </c>
      <c r="X29" s="401">
        <v>206.99999999999997</v>
      </c>
      <c r="Y29" s="407">
        <v>217.8</v>
      </c>
      <c r="Z29" s="407">
        <v>225.50000000000003</v>
      </c>
      <c r="AA29" s="407">
        <v>291.5</v>
      </c>
      <c r="AB29" s="407">
        <v>346.5</v>
      </c>
    </row>
    <row r="30" spans="2:28" x14ac:dyDescent="0.3">
      <c r="B30" s="458" t="s">
        <v>117</v>
      </c>
      <c r="C30" s="460">
        <v>1.5920000000000001</v>
      </c>
      <c r="D30" s="460">
        <v>1.7120000000000002</v>
      </c>
      <c r="E30" s="460">
        <v>1.7120000000000002</v>
      </c>
      <c r="F30" s="460">
        <v>1.92</v>
      </c>
      <c r="G30" s="460">
        <v>2.1520000000000001</v>
      </c>
      <c r="H30" s="460">
        <v>2.4079999999999999</v>
      </c>
      <c r="I30" s="460">
        <v>1.32</v>
      </c>
      <c r="J30" s="460">
        <v>1.4320000000000002</v>
      </c>
      <c r="K30" s="460">
        <v>1.56</v>
      </c>
      <c r="L30" s="460">
        <v>1.8320000000000001</v>
      </c>
      <c r="M30" s="460">
        <v>1.9600000000000002</v>
      </c>
      <c r="N30" s="460">
        <v>1.0720000000000001</v>
      </c>
      <c r="O30" s="460">
        <v>1.2240000000000002</v>
      </c>
      <c r="P30" s="460">
        <v>1.36</v>
      </c>
      <c r="Q30" s="460">
        <v>1.56</v>
      </c>
      <c r="R30" s="460">
        <v>1.6719999999999999</v>
      </c>
      <c r="S30" s="460">
        <v>0.90399999999999991</v>
      </c>
      <c r="T30" s="460">
        <v>1.04</v>
      </c>
      <c r="U30" s="460">
        <v>1.1039999999999999</v>
      </c>
      <c r="V30" s="462">
        <v>1.1839999999999999</v>
      </c>
      <c r="W30" s="462">
        <v>1.2640000000000002</v>
      </c>
      <c r="X30" s="462">
        <v>0.8</v>
      </c>
      <c r="Y30" s="462">
        <v>0.89600000000000013</v>
      </c>
      <c r="Z30" s="462">
        <v>0.95199999999999996</v>
      </c>
      <c r="AA30" s="462">
        <v>1.008</v>
      </c>
      <c r="AB30" s="462">
        <v>1.08</v>
      </c>
    </row>
    <row r="31" spans="2:28" x14ac:dyDescent="0.3">
      <c r="B31" s="458" t="s">
        <v>118</v>
      </c>
      <c r="C31" s="461">
        <v>161.60000000000002</v>
      </c>
      <c r="D31" s="461">
        <v>172</v>
      </c>
      <c r="E31" s="461">
        <v>192</v>
      </c>
      <c r="F31" s="461">
        <v>192</v>
      </c>
      <c r="G31" s="461">
        <v>212</v>
      </c>
      <c r="H31" s="461">
        <v>272</v>
      </c>
      <c r="I31" s="461">
        <v>152</v>
      </c>
      <c r="J31" s="461">
        <v>168</v>
      </c>
      <c r="K31" s="461">
        <v>184</v>
      </c>
      <c r="L31" s="461">
        <v>236</v>
      </c>
      <c r="M31" s="461">
        <v>264</v>
      </c>
      <c r="N31" s="461">
        <v>144</v>
      </c>
      <c r="O31" s="461">
        <v>152</v>
      </c>
      <c r="P31" s="461">
        <v>164</v>
      </c>
      <c r="Q31" s="461">
        <v>212</v>
      </c>
      <c r="R31" s="461">
        <v>252</v>
      </c>
      <c r="S31" s="461">
        <v>148</v>
      </c>
      <c r="T31" s="461">
        <v>158.4</v>
      </c>
      <c r="U31" s="461">
        <v>176</v>
      </c>
      <c r="V31" s="463">
        <v>212</v>
      </c>
      <c r="W31" s="463">
        <v>252</v>
      </c>
      <c r="X31" s="463">
        <v>144</v>
      </c>
      <c r="Y31" s="463">
        <v>158.4</v>
      </c>
      <c r="Z31" s="463">
        <v>164</v>
      </c>
      <c r="AA31" s="463">
        <v>212</v>
      </c>
      <c r="AB31" s="463">
        <v>252</v>
      </c>
    </row>
    <row r="32" spans="2:28" x14ac:dyDescent="0.3">
      <c r="B32" s="269"/>
    </row>
    <row r="33" spans="2:28" ht="15" thickBot="1" x14ac:dyDescent="0.35"/>
    <row r="34" spans="2:28" ht="24" thickBot="1" x14ac:dyDescent="0.35">
      <c r="C34" s="832" t="s">
        <v>179</v>
      </c>
      <c r="D34" s="833"/>
      <c r="E34" s="833"/>
      <c r="F34" s="833"/>
      <c r="G34" s="833"/>
      <c r="H34" s="833"/>
      <c r="I34" s="833"/>
      <c r="J34" s="833"/>
      <c r="K34" s="833"/>
      <c r="L34" s="833"/>
      <c r="M34" s="833"/>
      <c r="N34" s="833"/>
      <c r="O34" s="833"/>
      <c r="P34" s="833"/>
      <c r="Q34" s="833"/>
      <c r="R34" s="833"/>
      <c r="S34" s="833"/>
      <c r="T34" s="833"/>
      <c r="U34" s="833"/>
      <c r="V34" s="833"/>
      <c r="W34" s="833"/>
      <c r="X34" s="833"/>
      <c r="Y34" s="833"/>
      <c r="Z34" s="833"/>
      <c r="AA34" s="833"/>
      <c r="AB34" s="834"/>
    </row>
    <row r="35" spans="2:28" x14ac:dyDescent="0.3">
      <c r="B35" s="455" t="s">
        <v>100</v>
      </c>
      <c r="C35" s="399">
        <v>7</v>
      </c>
      <c r="D35" s="399">
        <v>8</v>
      </c>
      <c r="E35" s="399" t="s">
        <v>178</v>
      </c>
      <c r="F35" s="400">
        <v>9</v>
      </c>
      <c r="G35" s="400">
        <v>10</v>
      </c>
      <c r="H35" s="400">
        <v>11</v>
      </c>
      <c r="I35" s="399">
        <v>7</v>
      </c>
      <c r="J35" s="399">
        <v>8</v>
      </c>
      <c r="K35" s="331">
        <v>9</v>
      </c>
      <c r="L35" s="331">
        <v>10</v>
      </c>
      <c r="M35" s="331">
        <v>11</v>
      </c>
      <c r="N35" s="400">
        <v>7</v>
      </c>
      <c r="O35" s="399">
        <v>8</v>
      </c>
      <c r="P35" s="400">
        <v>9</v>
      </c>
      <c r="Q35" s="331">
        <v>10</v>
      </c>
      <c r="R35" s="331">
        <v>11</v>
      </c>
      <c r="S35" s="400">
        <v>7</v>
      </c>
      <c r="T35" s="321">
        <v>8</v>
      </c>
      <c r="U35" s="331">
        <v>9</v>
      </c>
      <c r="V35" s="401">
        <v>10</v>
      </c>
      <c r="W35" s="401">
        <v>11</v>
      </c>
      <c r="X35" s="416">
        <v>7</v>
      </c>
      <c r="Y35" s="402">
        <v>8</v>
      </c>
      <c r="Z35" s="401">
        <v>9</v>
      </c>
      <c r="AA35" s="401">
        <v>10</v>
      </c>
      <c r="AB35" s="401">
        <v>11</v>
      </c>
    </row>
    <row r="36" spans="2:28" x14ac:dyDescent="0.3">
      <c r="B36" s="455" t="s">
        <v>140</v>
      </c>
      <c r="C36" s="321" t="s">
        <v>75</v>
      </c>
      <c r="D36" s="321" t="s">
        <v>75</v>
      </c>
      <c r="E36" s="321" t="s">
        <v>75</v>
      </c>
      <c r="F36" s="321" t="s">
        <v>75</v>
      </c>
      <c r="G36" s="321" t="s">
        <v>75</v>
      </c>
      <c r="H36" s="321" t="s">
        <v>75</v>
      </c>
      <c r="I36" s="369" t="s">
        <v>74</v>
      </c>
      <c r="J36" s="369" t="s">
        <v>74</v>
      </c>
      <c r="K36" s="369" t="s">
        <v>74</v>
      </c>
      <c r="L36" s="369" t="s">
        <v>74</v>
      </c>
      <c r="M36" s="369" t="s">
        <v>74</v>
      </c>
      <c r="N36" s="321" t="s">
        <v>70</v>
      </c>
      <c r="O36" s="321" t="s">
        <v>70</v>
      </c>
      <c r="P36" s="321" t="s">
        <v>70</v>
      </c>
      <c r="Q36" s="369" t="s">
        <v>70</v>
      </c>
      <c r="R36" s="369" t="s">
        <v>70</v>
      </c>
      <c r="S36" s="321" t="s">
        <v>77</v>
      </c>
      <c r="T36" s="321" t="s">
        <v>77</v>
      </c>
      <c r="U36" s="321" t="s">
        <v>77</v>
      </c>
      <c r="V36" s="402" t="s">
        <v>77</v>
      </c>
      <c r="W36" s="402" t="s">
        <v>77</v>
      </c>
      <c r="X36" s="402" t="s">
        <v>62</v>
      </c>
      <c r="Y36" s="402" t="s">
        <v>62</v>
      </c>
      <c r="Z36" s="402" t="s">
        <v>62</v>
      </c>
      <c r="AA36" s="402" t="s">
        <v>62</v>
      </c>
      <c r="AB36" s="402" t="s">
        <v>62</v>
      </c>
    </row>
    <row r="37" spans="2:28" x14ac:dyDescent="0.3">
      <c r="B37" s="455" t="s">
        <v>243</v>
      </c>
      <c r="C37" s="321" t="s">
        <v>102</v>
      </c>
      <c r="D37" s="321" t="s">
        <v>102</v>
      </c>
      <c r="E37" s="321" t="s">
        <v>102</v>
      </c>
      <c r="F37" s="321" t="s">
        <v>102</v>
      </c>
      <c r="G37" s="321" t="s">
        <v>102</v>
      </c>
      <c r="H37" s="321" t="s">
        <v>102</v>
      </c>
      <c r="I37" s="321" t="s">
        <v>103</v>
      </c>
      <c r="J37" s="321" t="s">
        <v>103</v>
      </c>
      <c r="K37" s="321" t="s">
        <v>103</v>
      </c>
      <c r="L37" s="321" t="s">
        <v>103</v>
      </c>
      <c r="M37" s="321" t="s">
        <v>103</v>
      </c>
      <c r="N37" s="456" t="s">
        <v>245</v>
      </c>
      <c r="O37" s="456" t="s">
        <v>245</v>
      </c>
      <c r="P37" s="456" t="s">
        <v>245</v>
      </c>
      <c r="Q37" s="456" t="s">
        <v>245</v>
      </c>
      <c r="R37" s="456" t="s">
        <v>245</v>
      </c>
      <c r="S37" s="321" t="s">
        <v>104</v>
      </c>
      <c r="T37" s="321" t="s">
        <v>104</v>
      </c>
      <c r="U37" s="321" t="s">
        <v>104</v>
      </c>
      <c r="V37" s="402" t="s">
        <v>104</v>
      </c>
      <c r="W37" s="402" t="s">
        <v>104</v>
      </c>
      <c r="X37" s="402" t="s">
        <v>104</v>
      </c>
      <c r="Y37" s="402" t="s">
        <v>104</v>
      </c>
      <c r="Z37" s="402" t="s">
        <v>104</v>
      </c>
      <c r="AA37" s="402" t="s">
        <v>104</v>
      </c>
      <c r="AB37" s="402" t="s">
        <v>104</v>
      </c>
    </row>
    <row r="38" spans="2:28" x14ac:dyDescent="0.3">
      <c r="B38" s="458" t="s">
        <v>147</v>
      </c>
      <c r="C38" s="331">
        <f>ROUND(C39,0)</f>
        <v>133</v>
      </c>
      <c r="D38" s="331">
        <f t="shared" ref="D38:J38" si="22">ROUND(D39,0)</f>
        <v>144</v>
      </c>
      <c r="E38" s="331">
        <f t="shared" si="22"/>
        <v>144</v>
      </c>
      <c r="F38" s="331">
        <f t="shared" si="22"/>
        <v>156</v>
      </c>
      <c r="G38" s="331">
        <f t="shared" si="22"/>
        <v>166</v>
      </c>
      <c r="H38" s="331">
        <f t="shared" si="22"/>
        <v>177</v>
      </c>
      <c r="I38" s="331">
        <f t="shared" si="22"/>
        <v>110</v>
      </c>
      <c r="J38" s="331">
        <f t="shared" si="22"/>
        <v>119</v>
      </c>
      <c r="K38" s="331">
        <f t="shared" ref="K38" si="23">ROUND(K39,0)</f>
        <v>128</v>
      </c>
      <c r="L38" s="331">
        <f t="shared" ref="L38" si="24">ROUND(L39,0)</f>
        <v>137</v>
      </c>
      <c r="M38" s="331">
        <f t="shared" ref="M38" si="25">ROUND(M39,0)</f>
        <v>145</v>
      </c>
      <c r="N38" s="331">
        <f t="shared" ref="N38" si="26">ROUND(N39,0)</f>
        <v>94</v>
      </c>
      <c r="O38" s="331">
        <f t="shared" ref="O38" si="27">ROUND(O39,0)</f>
        <v>102</v>
      </c>
      <c r="P38" s="331">
        <f t="shared" ref="P38:Q38" si="28">ROUND(P39,0)</f>
        <v>110</v>
      </c>
      <c r="Q38" s="331">
        <f t="shared" si="28"/>
        <v>117</v>
      </c>
      <c r="R38" s="331">
        <f t="shared" ref="R38" si="29">ROUND(R39,0)</f>
        <v>125</v>
      </c>
      <c r="S38" s="331">
        <f t="shared" ref="S38" si="30">ROUND(S39,0)</f>
        <v>78</v>
      </c>
      <c r="T38" s="331">
        <f t="shared" ref="T38" si="31">ROUND(T39,0)</f>
        <v>85</v>
      </c>
      <c r="U38" s="331">
        <f t="shared" ref="U38" si="32">ROUND(U39,0)</f>
        <v>92</v>
      </c>
      <c r="V38" s="331">
        <f t="shared" ref="V38" si="33">ROUND(V39,0)</f>
        <v>98</v>
      </c>
      <c r="W38" s="331">
        <f t="shared" ref="W38:X38" si="34">ROUND(W39,0)</f>
        <v>104</v>
      </c>
      <c r="X38" s="331">
        <f t="shared" si="34"/>
        <v>67</v>
      </c>
      <c r="Y38" s="331">
        <f t="shared" ref="Y38" si="35">ROUND(Y39,0)</f>
        <v>73</v>
      </c>
      <c r="Z38" s="331">
        <f t="shared" ref="Z38" si="36">ROUND(Z39,0)</f>
        <v>79</v>
      </c>
      <c r="AA38" s="331">
        <f t="shared" ref="AA38" si="37">ROUND(AA39,0)</f>
        <v>84</v>
      </c>
      <c r="AB38" s="331">
        <f t="shared" ref="AB38" si="38">ROUND(AB39,0)</f>
        <v>89</v>
      </c>
    </row>
    <row r="39" spans="2:28" x14ac:dyDescent="0.3">
      <c r="B39" s="458" t="s">
        <v>147</v>
      </c>
      <c r="C39" s="289">
        <f t="shared" ref="C39:S39" si="39">(0.24*C42+0.76*C43)*100</f>
        <v>132.88</v>
      </c>
      <c r="D39" s="289">
        <f t="shared" si="39"/>
        <v>144.08000000000001</v>
      </c>
      <c r="E39" s="289">
        <f t="shared" si="39"/>
        <v>144.08000000000001</v>
      </c>
      <c r="F39" s="289">
        <f t="shared" si="39"/>
        <v>155.63999999999999</v>
      </c>
      <c r="G39" s="289">
        <f t="shared" si="39"/>
        <v>166.4</v>
      </c>
      <c r="H39" s="289">
        <f t="shared" si="39"/>
        <v>176.6</v>
      </c>
      <c r="I39" s="289">
        <f t="shared" si="39"/>
        <v>109.52</v>
      </c>
      <c r="J39" s="289">
        <f t="shared" si="39"/>
        <v>118.96</v>
      </c>
      <c r="K39" s="289">
        <f>(0.24*K42+0.76*K43)*100</f>
        <v>128.12</v>
      </c>
      <c r="L39" s="289">
        <f t="shared" ref="L39:M39" si="40">(0.24*L42+0.76*L43)*100</f>
        <v>137.04000000000002</v>
      </c>
      <c r="M39" s="289">
        <f t="shared" si="40"/>
        <v>145.44</v>
      </c>
      <c r="N39" s="289">
        <f t="shared" si="39"/>
        <v>93.72</v>
      </c>
      <c r="O39" s="289">
        <f t="shared" si="39"/>
        <v>102.08</v>
      </c>
      <c r="P39" s="289">
        <f t="shared" si="39"/>
        <v>109.96</v>
      </c>
      <c r="Q39" s="289">
        <f t="shared" si="39"/>
        <v>117.48</v>
      </c>
      <c r="R39" s="289">
        <f t="shared" si="39"/>
        <v>124.64</v>
      </c>
      <c r="S39" s="289">
        <f t="shared" si="39"/>
        <v>78.039999999999992</v>
      </c>
      <c r="T39" s="289">
        <f>(0.24*T42+0.76*T43)*100</f>
        <v>85.16</v>
      </c>
      <c r="U39" s="289">
        <f>(0.24*U42+0.76*U43)*100</f>
        <v>91.64</v>
      </c>
      <c r="V39" s="403">
        <f t="shared" ref="V39:X39" si="41">(0.24*V42+0.76*V43)*100</f>
        <v>97.839999999999989</v>
      </c>
      <c r="W39" s="403">
        <f t="shared" si="41"/>
        <v>104.03999999999999</v>
      </c>
      <c r="X39" s="403">
        <f t="shared" si="41"/>
        <v>67.320000000000007</v>
      </c>
      <c r="Y39" s="403">
        <f>(0.24*Y42+0.76*Y43)*100</f>
        <v>73.240000000000009</v>
      </c>
      <c r="Z39" s="403">
        <f>(0.24*Z42+0.76*Z43)*100</f>
        <v>78.72</v>
      </c>
      <c r="AA39" s="403">
        <f t="shared" ref="AA39:AB39" si="42">(0.24*AA42+0.76*AA43)*100</f>
        <v>84.2</v>
      </c>
      <c r="AB39" s="403">
        <f t="shared" si="42"/>
        <v>89.4</v>
      </c>
    </row>
    <row r="40" spans="2:28" x14ac:dyDescent="0.3">
      <c r="B40" s="458" t="s">
        <v>244</v>
      </c>
      <c r="C40" s="331">
        <f>ROUND(C41,0)</f>
        <v>243</v>
      </c>
      <c r="D40" s="331">
        <f t="shared" ref="D40:AB40" si="43">ROUND(D41,0)</f>
        <v>262</v>
      </c>
      <c r="E40" s="331">
        <f t="shared" si="43"/>
        <v>262</v>
      </c>
      <c r="F40" s="331">
        <f t="shared" si="43"/>
        <v>287</v>
      </c>
      <c r="G40" s="331">
        <f t="shared" si="43"/>
        <v>311</v>
      </c>
      <c r="H40" s="331">
        <f t="shared" si="43"/>
        <v>336</v>
      </c>
      <c r="I40" s="331">
        <f t="shared" si="43"/>
        <v>201</v>
      </c>
      <c r="J40" s="331">
        <f t="shared" si="43"/>
        <v>218</v>
      </c>
      <c r="K40" s="331">
        <f t="shared" si="43"/>
        <v>236</v>
      </c>
      <c r="L40" s="331">
        <f t="shared" si="43"/>
        <v>260</v>
      </c>
      <c r="M40" s="331">
        <f t="shared" si="43"/>
        <v>276</v>
      </c>
      <c r="N40" s="331">
        <f t="shared" si="43"/>
        <v>170</v>
      </c>
      <c r="O40" s="331">
        <f t="shared" si="43"/>
        <v>188</v>
      </c>
      <c r="P40" s="331">
        <f t="shared" si="43"/>
        <v>204</v>
      </c>
      <c r="Q40" s="331">
        <f t="shared" si="43"/>
        <v>223</v>
      </c>
      <c r="R40" s="331">
        <f t="shared" si="43"/>
        <v>237</v>
      </c>
      <c r="S40" s="331">
        <f t="shared" si="43"/>
        <v>143</v>
      </c>
      <c r="T40" s="331">
        <f t="shared" si="43"/>
        <v>158</v>
      </c>
      <c r="U40" s="331">
        <f t="shared" si="43"/>
        <v>169</v>
      </c>
      <c r="V40" s="331">
        <f t="shared" si="43"/>
        <v>181</v>
      </c>
      <c r="W40" s="331">
        <f t="shared" si="43"/>
        <v>192</v>
      </c>
      <c r="X40" s="331">
        <f t="shared" si="43"/>
        <v>125</v>
      </c>
      <c r="Y40" s="331">
        <f t="shared" si="43"/>
        <v>137</v>
      </c>
      <c r="Z40" s="331">
        <f t="shared" si="43"/>
        <v>146</v>
      </c>
      <c r="AA40" s="331">
        <f t="shared" si="43"/>
        <v>155</v>
      </c>
      <c r="AB40" s="331">
        <f t="shared" si="43"/>
        <v>165</v>
      </c>
    </row>
    <row r="41" spans="2:28" x14ac:dyDescent="0.3">
      <c r="B41" s="458" t="s">
        <v>244</v>
      </c>
      <c r="C41" s="289">
        <f>160*(3*C42+4*C43)/7+(C54+C55)*(525600-(+C45*3+C46*4)/7*160)/120000</f>
        <v>243.03180952380953</v>
      </c>
      <c r="D41" s="289">
        <f t="shared" ref="D41:AB41" si="44">160*(3*D42+4*D43)/7+(D54+D55)*(525600-(+D45*3+D46*4)/7*160)/120000</f>
        <v>262.43428571428569</v>
      </c>
      <c r="E41" s="289">
        <f t="shared" si="44"/>
        <v>262.41428571428571</v>
      </c>
      <c r="F41" s="289">
        <f t="shared" si="44"/>
        <v>286.63219047619043</v>
      </c>
      <c r="G41" s="289">
        <f t="shared" si="44"/>
        <v>311.08723809523809</v>
      </c>
      <c r="H41" s="289">
        <f t="shared" si="44"/>
        <v>336.39980952380955</v>
      </c>
      <c r="I41" s="289">
        <f t="shared" si="44"/>
        <v>201.44095238095233</v>
      </c>
      <c r="J41" s="289">
        <f t="shared" si="44"/>
        <v>218.33619047619052</v>
      </c>
      <c r="K41" s="289">
        <f t="shared" si="44"/>
        <v>235.68857142857141</v>
      </c>
      <c r="L41" s="289">
        <f t="shared" si="44"/>
        <v>259.86857142857144</v>
      </c>
      <c r="M41" s="289">
        <f t="shared" si="44"/>
        <v>276.29809523809519</v>
      </c>
      <c r="N41" s="289">
        <f t="shared" si="44"/>
        <v>170.12857142857143</v>
      </c>
      <c r="O41" s="289">
        <f t="shared" si="44"/>
        <v>187.7304761904762</v>
      </c>
      <c r="P41" s="289">
        <f t="shared" si="44"/>
        <v>203.94057142857142</v>
      </c>
      <c r="Q41" s="289">
        <f t="shared" si="44"/>
        <v>222.8609523809524</v>
      </c>
      <c r="R41" s="289">
        <f t="shared" si="44"/>
        <v>236.99619047619043</v>
      </c>
      <c r="S41" s="289">
        <f t="shared" si="44"/>
        <v>142.93104761904763</v>
      </c>
      <c r="T41" s="289">
        <f t="shared" si="44"/>
        <v>158.23638095238098</v>
      </c>
      <c r="U41" s="289">
        <f t="shared" si="44"/>
        <v>169.18761904761905</v>
      </c>
      <c r="V41" s="403">
        <f t="shared" si="44"/>
        <v>180.57523809523806</v>
      </c>
      <c r="W41" s="403">
        <f t="shared" si="44"/>
        <v>191.96761904761905</v>
      </c>
      <c r="X41" s="403">
        <f t="shared" si="44"/>
        <v>124.87142857142857</v>
      </c>
      <c r="Y41" s="403">
        <f t="shared" si="44"/>
        <v>136.75066666666669</v>
      </c>
      <c r="Z41" s="403">
        <f t="shared" si="44"/>
        <v>146.11199999999999</v>
      </c>
      <c r="AA41" s="403">
        <f t="shared" si="44"/>
        <v>155.43238095238095</v>
      </c>
      <c r="AB41" s="403">
        <f t="shared" si="44"/>
        <v>165.22476190476189</v>
      </c>
    </row>
    <row r="42" spans="2:28" ht="14.4" customHeight="1" x14ac:dyDescent="0.3">
      <c r="B42" s="458" t="s">
        <v>246</v>
      </c>
      <c r="C42" s="275">
        <v>1.99</v>
      </c>
      <c r="D42" s="404">
        <v>2.14</v>
      </c>
      <c r="E42" s="404">
        <v>2.14</v>
      </c>
      <c r="F42" s="312">
        <v>2.4</v>
      </c>
      <c r="G42" s="312">
        <v>2.69</v>
      </c>
      <c r="H42" s="312">
        <v>3.02</v>
      </c>
      <c r="I42" s="275">
        <v>1.65</v>
      </c>
      <c r="J42" s="404">
        <v>1.79</v>
      </c>
      <c r="K42" s="291">
        <v>1.95</v>
      </c>
      <c r="L42" s="291">
        <v>2.29</v>
      </c>
      <c r="M42" s="291">
        <v>2.4500000000000002</v>
      </c>
      <c r="N42" s="457">
        <v>1.34</v>
      </c>
      <c r="O42" s="457">
        <v>1.53</v>
      </c>
      <c r="P42" s="457">
        <v>1.7</v>
      </c>
      <c r="Q42" s="457">
        <v>1.95</v>
      </c>
      <c r="R42" s="457">
        <v>2.09</v>
      </c>
      <c r="S42" s="291">
        <v>1.1299999999999999</v>
      </c>
      <c r="T42" s="399">
        <v>1.3</v>
      </c>
      <c r="U42" s="291">
        <v>1.38</v>
      </c>
      <c r="V42" s="405">
        <v>1.48</v>
      </c>
      <c r="W42" s="405">
        <v>1.58</v>
      </c>
      <c r="X42" s="405">
        <v>1</v>
      </c>
      <c r="Y42" s="406">
        <v>1.1200000000000001</v>
      </c>
      <c r="Z42" s="405">
        <v>1.19</v>
      </c>
      <c r="AA42" s="405">
        <v>1.26</v>
      </c>
      <c r="AB42" s="405">
        <v>1.35</v>
      </c>
    </row>
    <row r="43" spans="2:28" ht="14.4" customHeight="1" x14ac:dyDescent="0.3">
      <c r="B43" s="458" t="s">
        <v>170</v>
      </c>
      <c r="C43" s="275">
        <v>1.1200000000000001</v>
      </c>
      <c r="D43" s="404">
        <v>1.22</v>
      </c>
      <c r="E43" s="404">
        <v>1.22</v>
      </c>
      <c r="F43" s="312">
        <v>1.29</v>
      </c>
      <c r="G43" s="312">
        <v>1.34</v>
      </c>
      <c r="H43" s="312">
        <v>1.37</v>
      </c>
      <c r="I43" s="275">
        <v>0.92</v>
      </c>
      <c r="J43" s="404">
        <v>1</v>
      </c>
      <c r="K43" s="291">
        <v>1.07</v>
      </c>
      <c r="L43" s="291">
        <v>1.08</v>
      </c>
      <c r="M43" s="291">
        <v>1.1399999999999999</v>
      </c>
      <c r="N43" s="457">
        <v>0.81</v>
      </c>
      <c r="O43" s="457">
        <v>0.86</v>
      </c>
      <c r="P43" s="457">
        <v>0.91</v>
      </c>
      <c r="Q43" s="457">
        <v>0.93</v>
      </c>
      <c r="R43" s="457">
        <v>0.98</v>
      </c>
      <c r="S43" s="291">
        <v>0.67</v>
      </c>
      <c r="T43" s="399">
        <v>0.71</v>
      </c>
      <c r="U43" s="291">
        <v>0.77</v>
      </c>
      <c r="V43" s="405">
        <v>0.82</v>
      </c>
      <c r="W43" s="405">
        <v>0.87</v>
      </c>
      <c r="X43" s="405">
        <v>0.56999999999999995</v>
      </c>
      <c r="Y43" s="406">
        <v>0.61</v>
      </c>
      <c r="Z43" s="405">
        <v>0.66</v>
      </c>
      <c r="AA43" s="405">
        <v>0.71</v>
      </c>
      <c r="AB43" s="405">
        <v>0.75</v>
      </c>
    </row>
    <row r="44" spans="2:28" x14ac:dyDescent="0.3">
      <c r="B44" s="458" t="s">
        <v>172</v>
      </c>
      <c r="C44" s="277">
        <f t="shared" ref="C44:O44" si="45">(+C45*0.24+C46*0.76)</f>
        <v>138.16</v>
      </c>
      <c r="D44" s="277">
        <f t="shared" si="45"/>
        <v>156.6</v>
      </c>
      <c r="E44" s="277">
        <f t="shared" si="45"/>
        <v>171.6</v>
      </c>
      <c r="F44" s="277">
        <f t="shared" si="45"/>
        <v>175.64</v>
      </c>
      <c r="G44" s="277">
        <f t="shared" si="45"/>
        <v>176.07999999999998</v>
      </c>
      <c r="H44" s="277">
        <f t="shared" si="45"/>
        <v>210.04</v>
      </c>
      <c r="I44" s="277">
        <f t="shared" si="45"/>
        <v>133</v>
      </c>
      <c r="J44" s="277">
        <f t="shared" si="45"/>
        <v>145.4</v>
      </c>
      <c r="K44" s="277">
        <f t="shared" si="45"/>
        <v>157.79999999999998</v>
      </c>
      <c r="L44" s="277">
        <f t="shared" si="45"/>
        <v>184.8</v>
      </c>
      <c r="M44" s="277">
        <f t="shared" si="45"/>
        <v>200.8</v>
      </c>
      <c r="N44" s="277">
        <f t="shared" si="45"/>
        <v>134.4</v>
      </c>
      <c r="O44" s="277">
        <f t="shared" si="45"/>
        <v>129.19999999999999</v>
      </c>
      <c r="P44" s="277">
        <f>(+P45*0.24+P46*0.76)</f>
        <v>142.68</v>
      </c>
      <c r="Q44" s="277">
        <f t="shared" ref="Q44:T44" si="46">(+Q45*0.24+Q46*0.76)</f>
        <v>173.8</v>
      </c>
      <c r="R44" s="277">
        <f t="shared" si="46"/>
        <v>193.39999999999998</v>
      </c>
      <c r="S44" s="277">
        <f t="shared" si="46"/>
        <v>130.28</v>
      </c>
      <c r="T44" s="277">
        <f t="shared" si="46"/>
        <v>134.92000000000002</v>
      </c>
      <c r="U44" s="277">
        <f>(+U45*0.24+U46*0.76)</f>
        <v>147.80000000000001</v>
      </c>
      <c r="V44" s="407">
        <f t="shared" ref="V44:Y44" si="47">(+V45*0.24+V46*0.76)</f>
        <v>173.8</v>
      </c>
      <c r="W44" s="407">
        <f t="shared" si="47"/>
        <v>193.39999999999998</v>
      </c>
      <c r="X44" s="407">
        <f t="shared" si="47"/>
        <v>134.4</v>
      </c>
      <c r="Y44" s="407">
        <f t="shared" si="47"/>
        <v>134.92000000000002</v>
      </c>
      <c r="Z44" s="407">
        <f>(+Z45*0.24+Z46*0.76)</f>
        <v>142.68</v>
      </c>
      <c r="AA44" s="407">
        <f t="shared" ref="AA44:AB44" si="48">(+AA45*0.24+AA46*0.76)</f>
        <v>173.8</v>
      </c>
      <c r="AB44" s="407">
        <f t="shared" si="48"/>
        <v>193.39999999999998</v>
      </c>
    </row>
    <row r="45" spans="2:28" x14ac:dyDescent="0.3">
      <c r="B45" s="458" t="s">
        <v>105</v>
      </c>
      <c r="C45" s="277">
        <v>202</v>
      </c>
      <c r="D45" s="284">
        <v>225</v>
      </c>
      <c r="E45" s="284">
        <v>240</v>
      </c>
      <c r="F45" s="343">
        <v>260</v>
      </c>
      <c r="G45" s="343">
        <v>265</v>
      </c>
      <c r="H45" s="331">
        <v>340</v>
      </c>
      <c r="I45" s="331">
        <v>190</v>
      </c>
      <c r="J45" s="331">
        <v>210</v>
      </c>
      <c r="K45" s="331">
        <v>230</v>
      </c>
      <c r="L45" s="331">
        <v>295</v>
      </c>
      <c r="M45" s="331">
        <v>330</v>
      </c>
      <c r="N45" s="331">
        <v>180</v>
      </c>
      <c r="O45" s="331">
        <v>190</v>
      </c>
      <c r="P45" s="331">
        <v>205</v>
      </c>
      <c r="Q45" s="331">
        <v>265</v>
      </c>
      <c r="R45" s="331">
        <v>315</v>
      </c>
      <c r="S45" s="331">
        <v>185</v>
      </c>
      <c r="T45" s="399">
        <v>198</v>
      </c>
      <c r="U45" s="331">
        <v>220</v>
      </c>
      <c r="V45" s="401">
        <v>265</v>
      </c>
      <c r="W45" s="401">
        <v>315</v>
      </c>
      <c r="X45" s="401">
        <v>180</v>
      </c>
      <c r="Y45" s="406">
        <v>198</v>
      </c>
      <c r="Z45" s="401">
        <v>205</v>
      </c>
      <c r="AA45" s="401">
        <v>265</v>
      </c>
      <c r="AB45" s="401">
        <v>315</v>
      </c>
    </row>
    <row r="46" spans="2:28" x14ac:dyDescent="0.3">
      <c r="B46" s="458" t="s">
        <v>106</v>
      </c>
      <c r="C46" s="277">
        <v>118</v>
      </c>
      <c r="D46" s="284">
        <v>135</v>
      </c>
      <c r="E46" s="284">
        <v>150</v>
      </c>
      <c r="F46" s="343">
        <v>149</v>
      </c>
      <c r="G46" s="343">
        <v>148</v>
      </c>
      <c r="H46" s="331">
        <v>169</v>
      </c>
      <c r="I46" s="343">
        <v>115</v>
      </c>
      <c r="J46" s="343">
        <v>125</v>
      </c>
      <c r="K46" s="331">
        <v>135</v>
      </c>
      <c r="L46" s="331">
        <v>150</v>
      </c>
      <c r="M46" s="331">
        <v>160</v>
      </c>
      <c r="N46" s="331">
        <v>120</v>
      </c>
      <c r="O46" s="331">
        <v>110</v>
      </c>
      <c r="P46" s="331">
        <v>123</v>
      </c>
      <c r="Q46" s="331">
        <v>145</v>
      </c>
      <c r="R46" s="331">
        <v>155</v>
      </c>
      <c r="S46" s="331">
        <v>113</v>
      </c>
      <c r="T46" s="399">
        <v>115</v>
      </c>
      <c r="U46" s="331">
        <v>125</v>
      </c>
      <c r="V46" s="401">
        <v>145</v>
      </c>
      <c r="W46" s="401">
        <v>155</v>
      </c>
      <c r="X46" s="401">
        <v>120</v>
      </c>
      <c r="Y46" s="406">
        <v>115</v>
      </c>
      <c r="Z46" s="401">
        <v>123</v>
      </c>
      <c r="AA46" s="401">
        <v>145</v>
      </c>
      <c r="AB46" s="401">
        <v>155</v>
      </c>
    </row>
    <row r="47" spans="2:28" x14ac:dyDescent="0.3">
      <c r="B47" s="458" t="s">
        <v>150</v>
      </c>
      <c r="C47" s="408">
        <f>C45/1440</f>
        <v>0.14027777777777778</v>
      </c>
      <c r="D47" s="408">
        <f t="shared" ref="D47:O47" si="49">D45/1440</f>
        <v>0.15625</v>
      </c>
      <c r="E47" s="408">
        <f t="shared" si="49"/>
        <v>0.16666666666666666</v>
      </c>
      <c r="F47" s="408">
        <f t="shared" si="49"/>
        <v>0.18055555555555555</v>
      </c>
      <c r="G47" s="408">
        <f t="shared" si="49"/>
        <v>0.18402777777777779</v>
      </c>
      <c r="H47" s="408">
        <f t="shared" si="49"/>
        <v>0.2361111111111111</v>
      </c>
      <c r="I47" s="408">
        <f t="shared" si="49"/>
        <v>0.13194444444444445</v>
      </c>
      <c r="J47" s="408">
        <f t="shared" si="49"/>
        <v>0.14583333333333334</v>
      </c>
      <c r="K47" s="408">
        <f t="shared" si="49"/>
        <v>0.15972222222222221</v>
      </c>
      <c r="L47" s="408">
        <f t="shared" si="49"/>
        <v>0.2048611111111111</v>
      </c>
      <c r="M47" s="408">
        <f t="shared" si="49"/>
        <v>0.22916666666666666</v>
      </c>
      <c r="N47" s="408">
        <f t="shared" si="49"/>
        <v>0.125</v>
      </c>
      <c r="O47" s="408">
        <f t="shared" si="49"/>
        <v>0.13194444444444445</v>
      </c>
      <c r="P47" s="408">
        <f>P45/1440</f>
        <v>0.1423611111111111</v>
      </c>
      <c r="Q47" s="408">
        <f>Q45/1440</f>
        <v>0.18402777777777779</v>
      </c>
      <c r="R47" s="408">
        <f>R45/1440</f>
        <v>0.21875</v>
      </c>
      <c r="S47" s="408">
        <f t="shared" ref="S47:AB47" si="50">S45/1440</f>
        <v>0.12847222222222221</v>
      </c>
      <c r="T47" s="408">
        <f t="shared" si="50"/>
        <v>0.13750000000000001</v>
      </c>
      <c r="U47" s="408">
        <f t="shared" si="50"/>
        <v>0.15277777777777779</v>
      </c>
      <c r="V47" s="409">
        <f t="shared" si="50"/>
        <v>0.18402777777777779</v>
      </c>
      <c r="W47" s="409">
        <f t="shared" si="50"/>
        <v>0.21875</v>
      </c>
      <c r="X47" s="409">
        <f t="shared" si="50"/>
        <v>0.125</v>
      </c>
      <c r="Y47" s="409">
        <f t="shared" si="50"/>
        <v>0.13750000000000001</v>
      </c>
      <c r="Z47" s="409">
        <f t="shared" si="50"/>
        <v>0.1423611111111111</v>
      </c>
      <c r="AA47" s="409">
        <f t="shared" si="50"/>
        <v>0.18402777777777779</v>
      </c>
      <c r="AB47" s="409">
        <f t="shared" si="50"/>
        <v>0.21875</v>
      </c>
    </row>
    <row r="48" spans="2:28" x14ac:dyDescent="0.3">
      <c r="B48" s="459" t="s">
        <v>142</v>
      </c>
      <c r="C48" s="410" t="s">
        <v>70</v>
      </c>
      <c r="D48" s="410" t="s">
        <v>70</v>
      </c>
      <c r="E48" s="410" t="s">
        <v>70</v>
      </c>
      <c r="F48" s="410" t="s">
        <v>70</v>
      </c>
      <c r="G48" s="410" t="s">
        <v>70</v>
      </c>
      <c r="H48" s="410" t="s">
        <v>70</v>
      </c>
      <c r="I48" s="411" t="s">
        <v>77</v>
      </c>
      <c r="J48" s="411" t="s">
        <v>77</v>
      </c>
      <c r="K48" s="331" t="s">
        <v>77</v>
      </c>
      <c r="L48" s="331" t="s">
        <v>77</v>
      </c>
      <c r="M48" s="331" t="s">
        <v>77</v>
      </c>
      <c r="N48" s="411" t="s">
        <v>77</v>
      </c>
      <c r="O48" s="411" t="s">
        <v>77</v>
      </c>
      <c r="P48" s="411" t="s">
        <v>77</v>
      </c>
      <c r="Q48" s="331" t="s">
        <v>77</v>
      </c>
      <c r="R48" s="331" t="s">
        <v>77</v>
      </c>
      <c r="S48" s="411" t="s">
        <v>77</v>
      </c>
      <c r="T48" s="399" t="s">
        <v>77</v>
      </c>
      <c r="U48" s="331" t="s">
        <v>77</v>
      </c>
      <c r="V48" s="401" t="s">
        <v>77</v>
      </c>
      <c r="W48" s="401" t="s">
        <v>77</v>
      </c>
      <c r="X48" s="417" t="s">
        <v>77</v>
      </c>
      <c r="Y48" s="406" t="s">
        <v>77</v>
      </c>
      <c r="Z48" s="401" t="s">
        <v>77</v>
      </c>
      <c r="AA48" s="401" t="s">
        <v>77</v>
      </c>
      <c r="AB48" s="401" t="s">
        <v>77</v>
      </c>
    </row>
    <row r="49" spans="2:28" x14ac:dyDescent="0.3">
      <c r="B49" s="459" t="s">
        <v>107</v>
      </c>
      <c r="C49" s="277">
        <f t="shared" ref="C49:H49" si="51">+(C50*0.24+C51*0.76)</f>
        <v>84</v>
      </c>
      <c r="D49" s="277">
        <f t="shared" si="51"/>
        <v>84</v>
      </c>
      <c r="E49" s="277">
        <f t="shared" si="51"/>
        <v>84</v>
      </c>
      <c r="F49" s="277">
        <f t="shared" si="51"/>
        <v>84</v>
      </c>
      <c r="G49" s="277">
        <f t="shared" si="51"/>
        <v>84</v>
      </c>
      <c r="H49" s="277">
        <f t="shared" si="51"/>
        <v>84</v>
      </c>
      <c r="I49" s="277">
        <v>88</v>
      </c>
      <c r="J49" s="277">
        <v>88</v>
      </c>
      <c r="K49" s="277">
        <v>88</v>
      </c>
      <c r="L49" s="277">
        <v>88</v>
      </c>
      <c r="M49" s="277">
        <v>88</v>
      </c>
      <c r="N49" s="277">
        <v>88</v>
      </c>
      <c r="O49" s="277">
        <v>88</v>
      </c>
      <c r="P49" s="277">
        <v>88</v>
      </c>
      <c r="Q49" s="277">
        <v>88</v>
      </c>
      <c r="R49" s="277">
        <v>88</v>
      </c>
      <c r="S49" s="277">
        <v>88</v>
      </c>
      <c r="T49" s="277">
        <v>88</v>
      </c>
      <c r="U49" s="277">
        <v>88</v>
      </c>
      <c r="V49" s="407">
        <v>88</v>
      </c>
      <c r="W49" s="407">
        <v>88</v>
      </c>
      <c r="X49" s="407">
        <v>88</v>
      </c>
      <c r="Y49" s="407">
        <v>88</v>
      </c>
      <c r="Z49" s="407">
        <v>88</v>
      </c>
      <c r="AA49" s="407">
        <v>88</v>
      </c>
      <c r="AB49" s="407">
        <v>88</v>
      </c>
    </row>
    <row r="50" spans="2:28" x14ac:dyDescent="0.3">
      <c r="B50" s="459" t="s">
        <v>108</v>
      </c>
      <c r="C50" s="284">
        <v>84</v>
      </c>
      <c r="D50" s="284">
        <v>84</v>
      </c>
      <c r="E50" s="284">
        <v>84</v>
      </c>
      <c r="F50" s="284">
        <v>84</v>
      </c>
      <c r="G50" s="284">
        <v>84</v>
      </c>
      <c r="H50" s="331">
        <v>84</v>
      </c>
      <c r="I50" s="331">
        <v>88</v>
      </c>
      <c r="J50" s="331">
        <v>88</v>
      </c>
      <c r="K50" s="331">
        <v>88</v>
      </c>
      <c r="L50" s="331">
        <v>88</v>
      </c>
      <c r="M50" s="331">
        <v>88</v>
      </c>
      <c r="N50" s="331">
        <v>88</v>
      </c>
      <c r="O50" s="331">
        <v>88</v>
      </c>
      <c r="P50" s="331">
        <v>88</v>
      </c>
      <c r="Q50" s="331">
        <v>88</v>
      </c>
      <c r="R50" s="331">
        <v>88</v>
      </c>
      <c r="S50" s="331">
        <v>88</v>
      </c>
      <c r="T50" s="331">
        <v>88</v>
      </c>
      <c r="U50" s="331">
        <v>88</v>
      </c>
      <c r="V50" s="401">
        <v>88</v>
      </c>
      <c r="W50" s="401">
        <v>88</v>
      </c>
      <c r="X50" s="401">
        <v>88</v>
      </c>
      <c r="Y50" s="401">
        <v>88</v>
      </c>
      <c r="Z50" s="401">
        <v>88</v>
      </c>
      <c r="AA50" s="401">
        <v>88</v>
      </c>
      <c r="AB50" s="401">
        <v>88</v>
      </c>
    </row>
    <row r="51" spans="2:28" x14ac:dyDescent="0.3">
      <c r="B51" s="459" t="s">
        <v>109</v>
      </c>
      <c r="C51" s="284">
        <v>84</v>
      </c>
      <c r="D51" s="284">
        <v>84</v>
      </c>
      <c r="E51" s="284">
        <v>84</v>
      </c>
      <c r="F51" s="284">
        <v>84</v>
      </c>
      <c r="G51" s="284">
        <v>84</v>
      </c>
      <c r="H51" s="331">
        <v>84</v>
      </c>
      <c r="I51" s="331">
        <v>88</v>
      </c>
      <c r="J51" s="331">
        <v>88</v>
      </c>
      <c r="K51" s="331">
        <v>88</v>
      </c>
      <c r="L51" s="331">
        <v>88</v>
      </c>
      <c r="M51" s="331">
        <v>88</v>
      </c>
      <c r="N51" s="331">
        <v>88</v>
      </c>
      <c r="O51" s="331">
        <v>88</v>
      </c>
      <c r="P51" s="277">
        <v>88</v>
      </c>
      <c r="Q51" s="277">
        <v>88</v>
      </c>
      <c r="R51" s="277">
        <v>88</v>
      </c>
      <c r="S51" s="277">
        <v>88</v>
      </c>
      <c r="T51" s="277">
        <v>88</v>
      </c>
      <c r="U51" s="277">
        <v>88</v>
      </c>
      <c r="V51" s="407">
        <v>88</v>
      </c>
      <c r="W51" s="407">
        <v>88</v>
      </c>
      <c r="X51" s="407">
        <v>88</v>
      </c>
      <c r="Y51" s="407">
        <v>88</v>
      </c>
      <c r="Z51" s="407">
        <v>88</v>
      </c>
      <c r="AA51" s="407">
        <v>88</v>
      </c>
      <c r="AB51" s="407">
        <v>88</v>
      </c>
    </row>
    <row r="52" spans="2:28" x14ac:dyDescent="0.3">
      <c r="B52" s="458" t="s">
        <v>110</v>
      </c>
      <c r="C52" s="277">
        <v>67</v>
      </c>
      <c r="D52" s="284">
        <v>67</v>
      </c>
      <c r="E52" s="284">
        <v>67</v>
      </c>
      <c r="F52" s="284">
        <v>66</v>
      </c>
      <c r="G52" s="284">
        <v>66</v>
      </c>
      <c r="H52" s="331">
        <v>66</v>
      </c>
      <c r="I52" s="277">
        <v>66</v>
      </c>
      <c r="J52" s="284">
        <v>66</v>
      </c>
      <c r="K52" s="331">
        <v>66</v>
      </c>
      <c r="L52" s="331">
        <v>64</v>
      </c>
      <c r="M52" s="331">
        <v>64</v>
      </c>
      <c r="N52" s="331">
        <v>64</v>
      </c>
      <c r="O52" s="284">
        <v>64</v>
      </c>
      <c r="P52" s="331">
        <v>64</v>
      </c>
      <c r="Q52" s="331">
        <v>64</v>
      </c>
      <c r="R52" s="331">
        <v>64</v>
      </c>
      <c r="S52" s="331">
        <v>64</v>
      </c>
      <c r="T52" s="399">
        <v>63</v>
      </c>
      <c r="U52" s="331">
        <v>63</v>
      </c>
      <c r="V52" s="401">
        <v>63</v>
      </c>
      <c r="W52" s="401">
        <v>63</v>
      </c>
      <c r="X52" s="401">
        <v>64</v>
      </c>
      <c r="Y52" s="406">
        <v>63</v>
      </c>
      <c r="Z52" s="401">
        <v>63</v>
      </c>
      <c r="AA52" s="401">
        <v>63</v>
      </c>
      <c r="AB52" s="401">
        <v>63</v>
      </c>
    </row>
    <row r="53" spans="2:28" x14ac:dyDescent="0.3">
      <c r="B53" s="458" t="s">
        <v>143</v>
      </c>
      <c r="C53" s="284" t="s">
        <v>70</v>
      </c>
      <c r="D53" s="284" t="s">
        <v>70</v>
      </c>
      <c r="E53" s="284" t="s">
        <v>70</v>
      </c>
      <c r="F53" s="284" t="s">
        <v>70</v>
      </c>
      <c r="G53" s="284" t="s">
        <v>70</v>
      </c>
      <c r="H53" s="284" t="s">
        <v>70</v>
      </c>
      <c r="I53" s="284" t="s">
        <v>70</v>
      </c>
      <c r="J53" s="284" t="s">
        <v>70</v>
      </c>
      <c r="K53" s="331" t="s">
        <v>70</v>
      </c>
      <c r="L53" s="331" t="s">
        <v>77</v>
      </c>
      <c r="M53" s="331" t="s">
        <v>77</v>
      </c>
      <c r="N53" s="284" t="s">
        <v>77</v>
      </c>
      <c r="O53" s="284" t="s">
        <v>77</v>
      </c>
      <c r="P53" s="284" t="s">
        <v>77</v>
      </c>
      <c r="Q53" s="331" t="s">
        <v>77</v>
      </c>
      <c r="R53" s="331" t="s">
        <v>77</v>
      </c>
      <c r="S53" s="284" t="s">
        <v>77</v>
      </c>
      <c r="T53" s="399" t="s">
        <v>77</v>
      </c>
      <c r="U53" s="331" t="s">
        <v>77</v>
      </c>
      <c r="V53" s="401" t="s">
        <v>77</v>
      </c>
      <c r="W53" s="401" t="s">
        <v>77</v>
      </c>
      <c r="X53" s="418" t="s">
        <v>77</v>
      </c>
      <c r="Y53" s="406" t="s">
        <v>77</v>
      </c>
      <c r="Z53" s="401" t="s">
        <v>77</v>
      </c>
      <c r="AA53" s="401" t="s">
        <v>77</v>
      </c>
      <c r="AB53" s="401" t="s">
        <v>77</v>
      </c>
    </row>
    <row r="54" spans="2:28" x14ac:dyDescent="0.3">
      <c r="B54" s="458" t="s">
        <v>111</v>
      </c>
      <c r="C54" s="275">
        <v>0.5</v>
      </c>
      <c r="D54" s="275">
        <v>0.5</v>
      </c>
      <c r="E54" s="275">
        <v>0.5</v>
      </c>
      <c r="F54" s="275">
        <v>0.5</v>
      </c>
      <c r="G54" s="275">
        <v>0.5</v>
      </c>
      <c r="H54" s="275">
        <v>0.5</v>
      </c>
      <c r="I54" s="275">
        <v>0.5</v>
      </c>
      <c r="J54" s="275">
        <v>0.5</v>
      </c>
      <c r="K54" s="291">
        <v>0.5</v>
      </c>
      <c r="L54" s="291">
        <v>0.5</v>
      </c>
      <c r="M54" s="291">
        <v>0.5</v>
      </c>
      <c r="N54" s="275">
        <v>0.5</v>
      </c>
      <c r="O54" s="275">
        <v>0.5</v>
      </c>
      <c r="P54" s="275">
        <v>0.5</v>
      </c>
      <c r="Q54" s="291">
        <v>0.5</v>
      </c>
      <c r="R54" s="291">
        <v>0.5</v>
      </c>
      <c r="S54" s="275">
        <v>0.5</v>
      </c>
      <c r="T54" s="291">
        <v>0.5</v>
      </c>
      <c r="U54" s="291">
        <v>0.5</v>
      </c>
      <c r="V54" s="405">
        <v>0.5</v>
      </c>
      <c r="W54" s="405">
        <v>0.5</v>
      </c>
      <c r="X54" s="415">
        <v>0.5</v>
      </c>
      <c r="Y54" s="405">
        <v>0.5</v>
      </c>
      <c r="Z54" s="405">
        <v>0.5</v>
      </c>
      <c r="AA54" s="405">
        <v>0.5</v>
      </c>
      <c r="AB54" s="405">
        <v>0.5</v>
      </c>
    </row>
    <row r="55" spans="2:28" x14ac:dyDescent="0.3">
      <c r="B55" s="458" t="s">
        <v>112</v>
      </c>
      <c r="C55" s="275">
        <v>0.5</v>
      </c>
      <c r="D55" s="275">
        <v>0.5</v>
      </c>
      <c r="E55" s="275">
        <v>0.5</v>
      </c>
      <c r="F55" s="275">
        <v>0.5</v>
      </c>
      <c r="G55" s="275">
        <v>0.5</v>
      </c>
      <c r="H55" s="275">
        <v>0.5</v>
      </c>
      <c r="I55" s="275">
        <v>0.5</v>
      </c>
      <c r="J55" s="275">
        <v>0.5</v>
      </c>
      <c r="K55" s="291">
        <v>0.5</v>
      </c>
      <c r="L55" s="291">
        <v>0.5</v>
      </c>
      <c r="M55" s="291">
        <v>0.5</v>
      </c>
      <c r="N55" s="275">
        <v>0.5</v>
      </c>
      <c r="O55" s="275">
        <v>0.5</v>
      </c>
      <c r="P55" s="275">
        <v>0.5</v>
      </c>
      <c r="Q55" s="291">
        <v>0.5</v>
      </c>
      <c r="R55" s="291">
        <v>0.5</v>
      </c>
      <c r="S55" s="275">
        <v>0.5</v>
      </c>
      <c r="T55" s="291">
        <v>0.5</v>
      </c>
      <c r="U55" s="291">
        <v>0.5</v>
      </c>
      <c r="V55" s="405">
        <v>0.5</v>
      </c>
      <c r="W55" s="405">
        <v>0.5</v>
      </c>
      <c r="X55" s="415">
        <v>0.5</v>
      </c>
      <c r="Y55" s="405">
        <v>0.5</v>
      </c>
      <c r="Z55" s="405">
        <v>0.5</v>
      </c>
      <c r="AA55" s="405">
        <v>0.5</v>
      </c>
      <c r="AB55" s="405">
        <v>0.5</v>
      </c>
    </row>
    <row r="56" spans="2:28" x14ac:dyDescent="0.3">
      <c r="B56" s="458" t="s">
        <v>113</v>
      </c>
      <c r="C56" s="412">
        <v>5</v>
      </c>
      <c r="D56" s="277">
        <v>5</v>
      </c>
      <c r="E56" s="277">
        <v>5</v>
      </c>
      <c r="F56" s="277">
        <v>5</v>
      </c>
      <c r="G56" s="277">
        <v>5</v>
      </c>
      <c r="H56" s="412">
        <v>5</v>
      </c>
      <c r="I56" s="412">
        <v>5</v>
      </c>
      <c r="J56" s="277">
        <v>5</v>
      </c>
      <c r="K56" s="331">
        <v>5</v>
      </c>
      <c r="L56" s="331">
        <v>5</v>
      </c>
      <c r="M56" s="331">
        <v>5</v>
      </c>
      <c r="N56" s="411">
        <v>5</v>
      </c>
      <c r="O56" s="411">
        <v>5</v>
      </c>
      <c r="P56" s="411">
        <v>5</v>
      </c>
      <c r="Q56" s="331">
        <v>5</v>
      </c>
      <c r="R56" s="331">
        <v>5</v>
      </c>
      <c r="S56" s="411">
        <v>5</v>
      </c>
      <c r="T56" s="399">
        <v>5</v>
      </c>
      <c r="U56" s="331">
        <v>5</v>
      </c>
      <c r="V56" s="401">
        <v>5</v>
      </c>
      <c r="W56" s="401">
        <v>5</v>
      </c>
      <c r="X56" s="417">
        <v>5</v>
      </c>
      <c r="Y56" s="406">
        <v>5</v>
      </c>
      <c r="Z56" s="401">
        <v>5</v>
      </c>
      <c r="AA56" s="401">
        <v>5</v>
      </c>
      <c r="AB56" s="401">
        <v>5</v>
      </c>
    </row>
    <row r="57" spans="2:28" x14ac:dyDescent="0.3">
      <c r="B57" s="458" t="s">
        <v>114</v>
      </c>
      <c r="C57" s="275">
        <f t="shared" ref="C57:M57" si="52">+C42*1.25</f>
        <v>2.4874999999999998</v>
      </c>
      <c r="D57" s="300">
        <f t="shared" si="52"/>
        <v>2.6750000000000003</v>
      </c>
      <c r="E57" s="300">
        <f t="shared" si="52"/>
        <v>2.6750000000000003</v>
      </c>
      <c r="F57" s="300">
        <f t="shared" si="52"/>
        <v>3</v>
      </c>
      <c r="G57" s="300">
        <f t="shared" si="52"/>
        <v>3.3624999999999998</v>
      </c>
      <c r="H57" s="300">
        <f t="shared" si="52"/>
        <v>3.7749999999999999</v>
      </c>
      <c r="I57" s="275">
        <f t="shared" si="52"/>
        <v>2.0625</v>
      </c>
      <c r="J57" s="300">
        <f t="shared" si="52"/>
        <v>2.2374999999999998</v>
      </c>
      <c r="K57" s="300">
        <f t="shared" si="52"/>
        <v>2.4375</v>
      </c>
      <c r="L57" s="300">
        <f t="shared" si="52"/>
        <v>2.8624999999999998</v>
      </c>
      <c r="M57" s="300">
        <f t="shared" si="52"/>
        <v>3.0625</v>
      </c>
      <c r="N57" s="291">
        <f>N42*1.26</f>
        <v>1.6884000000000001</v>
      </c>
      <c r="O57" s="291">
        <f>O42*1.26</f>
        <v>1.9278</v>
      </c>
      <c r="P57" s="291">
        <f>P42*1.26</f>
        <v>2.1419999999999999</v>
      </c>
      <c r="Q57" s="291">
        <f t="shared" ref="Q57:R57" si="53">Q42*1.26</f>
        <v>2.4569999999999999</v>
      </c>
      <c r="R57" s="291">
        <f t="shared" si="53"/>
        <v>2.6334</v>
      </c>
      <c r="S57" s="291">
        <f>S42*1.26</f>
        <v>1.4238</v>
      </c>
      <c r="T57" s="300">
        <f>+T42*1.25</f>
        <v>1.625</v>
      </c>
      <c r="U57" s="300">
        <f>+U42*1.25</f>
        <v>1.7249999999999999</v>
      </c>
      <c r="V57" s="413">
        <f>+V42*1.25</f>
        <v>1.85</v>
      </c>
      <c r="W57" s="413">
        <f>+W42*1.25</f>
        <v>1.9750000000000001</v>
      </c>
      <c r="X57" s="405">
        <f>X42*1.26</f>
        <v>1.26</v>
      </c>
      <c r="Y57" s="413">
        <f>+Y42*1.25</f>
        <v>1.4000000000000001</v>
      </c>
      <c r="Z57" s="413">
        <f>+Z42*1.25</f>
        <v>1.4874999999999998</v>
      </c>
      <c r="AA57" s="413">
        <f>+AA42*1.25</f>
        <v>1.575</v>
      </c>
      <c r="AB57" s="413">
        <f>+AB42*1.25</f>
        <v>1.6875</v>
      </c>
    </row>
    <row r="58" spans="2:28" x14ac:dyDescent="0.3">
      <c r="B58" s="458" t="s">
        <v>115</v>
      </c>
      <c r="C58" s="277">
        <f t="shared" ref="C58:H58" si="54">+C45*1.25</f>
        <v>252.5</v>
      </c>
      <c r="D58" s="303">
        <f t="shared" si="54"/>
        <v>281.25</v>
      </c>
      <c r="E58" s="303">
        <f t="shared" si="54"/>
        <v>300</v>
      </c>
      <c r="F58" s="303">
        <f t="shared" si="54"/>
        <v>325</v>
      </c>
      <c r="G58" s="303">
        <f t="shared" si="54"/>
        <v>331.25</v>
      </c>
      <c r="H58" s="303">
        <f t="shared" si="54"/>
        <v>425</v>
      </c>
      <c r="I58" s="277">
        <f>+I45*1.25</f>
        <v>237.5</v>
      </c>
      <c r="J58" s="303">
        <f>+J45*1.25</f>
        <v>262.5</v>
      </c>
      <c r="K58" s="303">
        <f>+K45*1.25</f>
        <v>287.5</v>
      </c>
      <c r="L58" s="303">
        <f>+L45*1.25</f>
        <v>368.75</v>
      </c>
      <c r="M58" s="303">
        <f t="shared" ref="M58" si="55">+M45*1.25</f>
        <v>412.5</v>
      </c>
      <c r="N58" s="331">
        <f t="shared" ref="N58:O58" si="56">N45*1.27</f>
        <v>228.6</v>
      </c>
      <c r="O58" s="331">
        <f t="shared" si="56"/>
        <v>241.3</v>
      </c>
      <c r="P58" s="331">
        <f>P45*1.27</f>
        <v>260.35000000000002</v>
      </c>
      <c r="Q58" s="331">
        <f t="shared" ref="Q58:S58" si="57">Q45*1.27</f>
        <v>336.55</v>
      </c>
      <c r="R58" s="331">
        <f t="shared" si="57"/>
        <v>400.05</v>
      </c>
      <c r="S58" s="331">
        <f t="shared" si="57"/>
        <v>234.95000000000002</v>
      </c>
      <c r="T58" s="303">
        <f t="shared" ref="T58:W58" si="58">+T45*1.25</f>
        <v>247.5</v>
      </c>
      <c r="U58" s="303">
        <f t="shared" si="58"/>
        <v>275</v>
      </c>
      <c r="V58" s="414">
        <f t="shared" si="58"/>
        <v>331.25</v>
      </c>
      <c r="W58" s="414">
        <f t="shared" si="58"/>
        <v>393.75</v>
      </c>
      <c r="X58" s="401">
        <f t="shared" ref="X58" si="59">X45*1.27</f>
        <v>228.6</v>
      </c>
      <c r="Y58" s="414">
        <f t="shared" ref="Y58:AB58" si="60">+Y45*1.25</f>
        <v>247.5</v>
      </c>
      <c r="Z58" s="414">
        <f t="shared" si="60"/>
        <v>256.25</v>
      </c>
      <c r="AA58" s="414">
        <f t="shared" si="60"/>
        <v>331.25</v>
      </c>
      <c r="AB58" s="414">
        <f t="shared" si="60"/>
        <v>393.75</v>
      </c>
    </row>
    <row r="59" spans="2:28" x14ac:dyDescent="0.3">
      <c r="B59" s="458" t="s">
        <v>116</v>
      </c>
      <c r="C59" s="275">
        <f t="shared" ref="C59:M59" si="61">+C42*1.1</f>
        <v>2.1890000000000001</v>
      </c>
      <c r="D59" s="275">
        <f t="shared" si="61"/>
        <v>2.3540000000000005</v>
      </c>
      <c r="E59" s="275">
        <f t="shared" si="61"/>
        <v>2.3540000000000005</v>
      </c>
      <c r="F59" s="275">
        <f t="shared" si="61"/>
        <v>2.64</v>
      </c>
      <c r="G59" s="275">
        <f t="shared" si="61"/>
        <v>2.9590000000000001</v>
      </c>
      <c r="H59" s="275">
        <f t="shared" si="61"/>
        <v>3.3220000000000005</v>
      </c>
      <c r="I59" s="275">
        <f t="shared" si="61"/>
        <v>1.8149999999999999</v>
      </c>
      <c r="J59" s="275">
        <f t="shared" si="61"/>
        <v>1.9690000000000003</v>
      </c>
      <c r="K59" s="275">
        <f t="shared" si="61"/>
        <v>2.145</v>
      </c>
      <c r="L59" s="275">
        <f t="shared" si="61"/>
        <v>2.5190000000000001</v>
      </c>
      <c r="M59" s="275">
        <f t="shared" si="61"/>
        <v>2.6950000000000003</v>
      </c>
      <c r="N59" s="291">
        <f>N42*1.1</f>
        <v>1.4740000000000002</v>
      </c>
      <c r="O59" s="291">
        <f>O42*1.1</f>
        <v>1.6830000000000003</v>
      </c>
      <c r="P59" s="291">
        <f>P42*1.1</f>
        <v>1.87</v>
      </c>
      <c r="Q59" s="291">
        <f t="shared" ref="Q59:R59" si="62">Q42*1.1</f>
        <v>2.145</v>
      </c>
      <c r="R59" s="291">
        <f t="shared" si="62"/>
        <v>2.2989999999999999</v>
      </c>
      <c r="S59" s="291">
        <f>S42*1.1</f>
        <v>1.2429999999999999</v>
      </c>
      <c r="T59" s="275">
        <f>+T42*1.1</f>
        <v>1.4300000000000002</v>
      </c>
      <c r="U59" s="275">
        <f>+U42*1.1</f>
        <v>1.518</v>
      </c>
      <c r="V59" s="415">
        <f>+V42*1.1</f>
        <v>1.6280000000000001</v>
      </c>
      <c r="W59" s="415">
        <f>+W42*1.1</f>
        <v>1.7380000000000002</v>
      </c>
      <c r="X59" s="405">
        <f>X42*1.1</f>
        <v>1.1000000000000001</v>
      </c>
      <c r="Y59" s="415">
        <f>+Y42*1.1</f>
        <v>1.2320000000000002</v>
      </c>
      <c r="Z59" s="415">
        <f>+Z42*1.1</f>
        <v>1.3089999999999999</v>
      </c>
      <c r="AA59" s="415">
        <f>+AA42*1.1</f>
        <v>1.3860000000000001</v>
      </c>
      <c r="AB59" s="415">
        <f>+AB42*1.1</f>
        <v>1.4850000000000003</v>
      </c>
    </row>
    <row r="60" spans="2:28" x14ac:dyDescent="0.3">
      <c r="B60" s="458" t="s">
        <v>115</v>
      </c>
      <c r="C60" s="277">
        <f t="shared" ref="C60:H60" si="63">+C45*1.1</f>
        <v>222.20000000000002</v>
      </c>
      <c r="D60" s="277">
        <f t="shared" si="63"/>
        <v>247.50000000000003</v>
      </c>
      <c r="E60" s="277">
        <f t="shared" si="63"/>
        <v>264</v>
      </c>
      <c r="F60" s="277">
        <f t="shared" si="63"/>
        <v>286</v>
      </c>
      <c r="G60" s="277">
        <f t="shared" si="63"/>
        <v>291.5</v>
      </c>
      <c r="H60" s="277">
        <f t="shared" si="63"/>
        <v>374.00000000000006</v>
      </c>
      <c r="I60" s="277">
        <f>+I45*1.1</f>
        <v>209.00000000000003</v>
      </c>
      <c r="J60" s="277">
        <f>+J45*1.1</f>
        <v>231.00000000000003</v>
      </c>
      <c r="K60" s="277">
        <f>+K45*1.1</f>
        <v>253.00000000000003</v>
      </c>
      <c r="L60" s="277">
        <f>+L45*1.1</f>
        <v>324.5</v>
      </c>
      <c r="M60" s="277">
        <f t="shared" ref="M60" si="64">+M45*1.1</f>
        <v>363.00000000000006</v>
      </c>
      <c r="N60" s="331">
        <f t="shared" ref="N60:O60" si="65">N45*1.15</f>
        <v>206.99999999999997</v>
      </c>
      <c r="O60" s="331">
        <f t="shared" si="65"/>
        <v>218.49999999999997</v>
      </c>
      <c r="P60" s="331">
        <f>P45*1.15</f>
        <v>235.74999999999997</v>
      </c>
      <c r="Q60" s="331">
        <f t="shared" ref="Q60:S60" si="66">Q45*1.15</f>
        <v>304.75</v>
      </c>
      <c r="R60" s="331">
        <f t="shared" si="66"/>
        <v>362.25</v>
      </c>
      <c r="S60" s="331">
        <f t="shared" si="66"/>
        <v>212.74999999999997</v>
      </c>
      <c r="T60" s="277">
        <f t="shared" ref="T60:W60" si="67">+T45*1.1</f>
        <v>217.8</v>
      </c>
      <c r="U60" s="277">
        <f t="shared" si="67"/>
        <v>242.00000000000003</v>
      </c>
      <c r="V60" s="407">
        <f t="shared" si="67"/>
        <v>291.5</v>
      </c>
      <c r="W60" s="407">
        <f t="shared" si="67"/>
        <v>346.5</v>
      </c>
      <c r="X60" s="401">
        <f t="shared" ref="X60" si="68">X45*1.15</f>
        <v>206.99999999999997</v>
      </c>
      <c r="Y60" s="407">
        <f t="shared" ref="Y60:AB60" si="69">+Y45*1.1</f>
        <v>217.8</v>
      </c>
      <c r="Z60" s="407">
        <f t="shared" si="69"/>
        <v>225.50000000000003</v>
      </c>
      <c r="AA60" s="407">
        <f t="shared" si="69"/>
        <v>291.5</v>
      </c>
      <c r="AB60" s="407">
        <f t="shared" si="69"/>
        <v>346.5</v>
      </c>
    </row>
    <row r="61" spans="2:28" x14ac:dyDescent="0.3">
      <c r="B61" s="458" t="s">
        <v>117</v>
      </c>
      <c r="C61" s="275">
        <f t="shared" ref="C61:M61" si="70">+C42*0.8</f>
        <v>1.5920000000000001</v>
      </c>
      <c r="D61" s="275">
        <f t="shared" si="70"/>
        <v>1.7120000000000002</v>
      </c>
      <c r="E61" s="275">
        <f t="shared" si="70"/>
        <v>1.7120000000000002</v>
      </c>
      <c r="F61" s="275">
        <f t="shared" si="70"/>
        <v>1.92</v>
      </c>
      <c r="G61" s="275">
        <f t="shared" si="70"/>
        <v>2.1520000000000001</v>
      </c>
      <c r="H61" s="275">
        <f t="shared" si="70"/>
        <v>2.4160000000000004</v>
      </c>
      <c r="I61" s="275">
        <f t="shared" si="70"/>
        <v>1.32</v>
      </c>
      <c r="J61" s="275">
        <f t="shared" si="70"/>
        <v>1.4320000000000002</v>
      </c>
      <c r="K61" s="275">
        <f t="shared" si="70"/>
        <v>1.56</v>
      </c>
      <c r="L61" s="275">
        <f t="shared" si="70"/>
        <v>1.8320000000000001</v>
      </c>
      <c r="M61" s="275">
        <f t="shared" si="70"/>
        <v>1.9600000000000002</v>
      </c>
      <c r="N61" s="291">
        <f>N42*0.8</f>
        <v>1.0720000000000001</v>
      </c>
      <c r="O61" s="291">
        <f>O42*0.8</f>
        <v>1.2240000000000002</v>
      </c>
      <c r="P61" s="291">
        <f>P42*0.8</f>
        <v>1.36</v>
      </c>
      <c r="Q61" s="291">
        <f t="shared" ref="Q61:R61" si="71">Q42*0.8</f>
        <v>1.56</v>
      </c>
      <c r="R61" s="291">
        <f t="shared" si="71"/>
        <v>1.6719999999999999</v>
      </c>
      <c r="S61" s="291">
        <f>S42*0.8</f>
        <v>0.90399999999999991</v>
      </c>
      <c r="T61" s="275">
        <f>+T42*0.8</f>
        <v>1.04</v>
      </c>
      <c r="U61" s="275">
        <f>+U42*0.8</f>
        <v>1.1039999999999999</v>
      </c>
      <c r="V61" s="415">
        <f>+V42*0.8</f>
        <v>1.1839999999999999</v>
      </c>
      <c r="W61" s="415">
        <f>+W42*0.8</f>
        <v>1.2640000000000002</v>
      </c>
      <c r="X61" s="405">
        <f>X42*0.8</f>
        <v>0.8</v>
      </c>
      <c r="Y61" s="415">
        <f>+Y42*0.8</f>
        <v>0.89600000000000013</v>
      </c>
      <c r="Z61" s="415">
        <f>+Z42*0.8</f>
        <v>0.95199999999999996</v>
      </c>
      <c r="AA61" s="415">
        <f>+AA42*0.8</f>
        <v>1.008</v>
      </c>
      <c r="AB61" s="415">
        <f>+AB42*0.8</f>
        <v>1.08</v>
      </c>
    </row>
    <row r="62" spans="2:28" x14ac:dyDescent="0.3">
      <c r="B62" s="458" t="s">
        <v>118</v>
      </c>
      <c r="C62" s="277">
        <f t="shared" ref="C62:H62" si="72">+C45*0.8</f>
        <v>161.60000000000002</v>
      </c>
      <c r="D62" s="277">
        <f t="shared" si="72"/>
        <v>180</v>
      </c>
      <c r="E62" s="277">
        <f t="shared" si="72"/>
        <v>192</v>
      </c>
      <c r="F62" s="277">
        <f t="shared" si="72"/>
        <v>208</v>
      </c>
      <c r="G62" s="277">
        <f t="shared" si="72"/>
        <v>212</v>
      </c>
      <c r="H62" s="277">
        <f t="shared" si="72"/>
        <v>272</v>
      </c>
      <c r="I62" s="277">
        <f>+I45*0.8</f>
        <v>152</v>
      </c>
      <c r="J62" s="277">
        <f>+J45*0.8</f>
        <v>168</v>
      </c>
      <c r="K62" s="277">
        <f>+K45*0.8</f>
        <v>184</v>
      </c>
      <c r="L62" s="277">
        <f>+L45*0.8</f>
        <v>236</v>
      </c>
      <c r="M62" s="277">
        <f t="shared" ref="M62" si="73">+M45*0.8</f>
        <v>264</v>
      </c>
      <c r="N62" s="331">
        <f t="shared" ref="N62:O62" si="74">N45*0.8</f>
        <v>144</v>
      </c>
      <c r="O62" s="411">
        <f t="shared" si="74"/>
        <v>152</v>
      </c>
      <c r="P62" s="411">
        <f>P45*0.8</f>
        <v>164</v>
      </c>
      <c r="Q62" s="411">
        <f t="shared" ref="Q62:S62" si="75">Q45*0.8</f>
        <v>212</v>
      </c>
      <c r="R62" s="411">
        <f t="shared" si="75"/>
        <v>252</v>
      </c>
      <c r="S62" s="331">
        <f t="shared" si="75"/>
        <v>148</v>
      </c>
      <c r="T62" s="277">
        <f t="shared" ref="T62:W62" si="76">+T45*0.8</f>
        <v>158.4</v>
      </c>
      <c r="U62" s="277">
        <f t="shared" si="76"/>
        <v>176</v>
      </c>
      <c r="V62" s="407">
        <f t="shared" si="76"/>
        <v>212</v>
      </c>
      <c r="W62" s="407">
        <f t="shared" si="76"/>
        <v>252</v>
      </c>
      <c r="X62" s="401">
        <f t="shared" ref="X62" si="77">X45*0.8</f>
        <v>144</v>
      </c>
      <c r="Y62" s="407">
        <f t="shared" ref="Y62:AB62" si="78">+Y45*0.8</f>
        <v>158.4</v>
      </c>
      <c r="Z62" s="407">
        <f t="shared" si="78"/>
        <v>164</v>
      </c>
      <c r="AA62" s="407">
        <f t="shared" si="78"/>
        <v>212</v>
      </c>
      <c r="AB62" s="407">
        <f t="shared" si="78"/>
        <v>252</v>
      </c>
    </row>
    <row r="63" spans="2:28" x14ac:dyDescent="0.3"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72"/>
      <c r="O63" s="7"/>
      <c r="P63" s="7"/>
      <c r="Q63" s="7"/>
      <c r="R63" s="7"/>
      <c r="S63" s="72"/>
      <c r="T63" s="88"/>
      <c r="U63" s="88"/>
      <c r="V63" s="88"/>
      <c r="W63" s="88"/>
      <c r="X63" s="72"/>
      <c r="Y63" s="88"/>
      <c r="Z63" s="88"/>
      <c r="AA63" s="88"/>
      <c r="AB63" s="88"/>
    </row>
    <row r="64" spans="2:28" ht="15" thickBot="1" x14ac:dyDescent="0.35"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72"/>
      <c r="O64" s="7"/>
      <c r="P64" s="7"/>
      <c r="Q64" s="7"/>
      <c r="R64" s="7"/>
      <c r="S64" s="72"/>
      <c r="T64" s="88"/>
      <c r="U64" s="88"/>
      <c r="V64" s="88"/>
      <c r="W64" s="88"/>
      <c r="X64" s="72"/>
      <c r="Y64" s="88"/>
      <c r="Z64" s="88"/>
      <c r="AA64" s="88"/>
      <c r="AB64" s="88"/>
    </row>
    <row r="65" spans="2:11" ht="24" thickBot="1" x14ac:dyDescent="0.35">
      <c r="C65" s="835" t="s">
        <v>242</v>
      </c>
      <c r="D65" s="836"/>
      <c r="E65" s="836"/>
      <c r="F65" s="836"/>
      <c r="G65" s="836"/>
      <c r="H65" s="836"/>
      <c r="I65" s="836"/>
      <c r="J65" s="836"/>
      <c r="K65" s="837"/>
    </row>
    <row r="66" spans="2:11" x14ac:dyDescent="0.3">
      <c r="B66" s="270" t="s">
        <v>100</v>
      </c>
      <c r="C66" s="370">
        <v>8</v>
      </c>
      <c r="D66" s="371">
        <v>9</v>
      </c>
      <c r="E66" s="286">
        <v>10</v>
      </c>
      <c r="F66" s="370">
        <v>8</v>
      </c>
      <c r="G66" s="368">
        <v>9</v>
      </c>
      <c r="H66" s="366">
        <v>10</v>
      </c>
      <c r="I66" s="370">
        <v>8</v>
      </c>
      <c r="J66" s="371">
        <v>9</v>
      </c>
      <c r="K66" s="366">
        <v>10</v>
      </c>
    </row>
    <row r="67" spans="2:11" x14ac:dyDescent="0.3">
      <c r="B67" s="270" t="s">
        <v>140</v>
      </c>
      <c r="C67" s="324" t="s">
        <v>75</v>
      </c>
      <c r="D67" s="321" t="s">
        <v>75</v>
      </c>
      <c r="E67" s="323" t="s">
        <v>75</v>
      </c>
      <c r="F67" s="437" t="s">
        <v>74</v>
      </c>
      <c r="G67" s="369" t="s">
        <v>74</v>
      </c>
      <c r="H67" s="367" t="s">
        <v>74</v>
      </c>
      <c r="I67" s="324" t="s">
        <v>70</v>
      </c>
      <c r="J67" s="321" t="s">
        <v>70</v>
      </c>
      <c r="K67" s="367" t="s">
        <v>70</v>
      </c>
    </row>
    <row r="68" spans="2:11" x14ac:dyDescent="0.3">
      <c r="B68" s="270" t="s">
        <v>243</v>
      </c>
      <c r="C68" s="324" t="s">
        <v>102</v>
      </c>
      <c r="D68" s="321" t="s">
        <v>102</v>
      </c>
      <c r="E68" s="323" t="s">
        <v>102</v>
      </c>
      <c r="F68" s="324" t="s">
        <v>103</v>
      </c>
      <c r="G68" s="321" t="s">
        <v>103</v>
      </c>
      <c r="H68" s="323" t="s">
        <v>103</v>
      </c>
      <c r="I68" s="324" t="s">
        <v>104</v>
      </c>
      <c r="J68" s="321" t="s">
        <v>103</v>
      </c>
      <c r="K68" s="323" t="s">
        <v>104</v>
      </c>
    </row>
    <row r="69" spans="2:11" x14ac:dyDescent="0.3">
      <c r="B69" s="271" t="s">
        <v>147</v>
      </c>
      <c r="C69" s="299">
        <f t="shared" ref="C69:K71" si="79">ROUND(C70,0)</f>
        <v>144</v>
      </c>
      <c r="D69" s="331">
        <f t="shared" si="79"/>
        <v>156</v>
      </c>
      <c r="E69" s="294">
        <f t="shared" si="79"/>
        <v>166</v>
      </c>
      <c r="F69" s="299">
        <f t="shared" si="79"/>
        <v>119</v>
      </c>
      <c r="G69" s="331">
        <f t="shared" si="79"/>
        <v>128</v>
      </c>
      <c r="H69" s="294">
        <f t="shared" si="79"/>
        <v>137</v>
      </c>
      <c r="I69" s="299">
        <f t="shared" si="79"/>
        <v>102</v>
      </c>
      <c r="J69" s="331">
        <f t="shared" si="79"/>
        <v>110</v>
      </c>
      <c r="K69" s="294">
        <f t="shared" si="79"/>
        <v>117</v>
      </c>
    </row>
    <row r="70" spans="2:11" x14ac:dyDescent="0.3">
      <c r="B70" s="271" t="s">
        <v>147</v>
      </c>
      <c r="C70" s="288">
        <f t="shared" ref="C70:K70" si="80">(0.24*C73+0.76*C74)*100</f>
        <v>144.08000000000001</v>
      </c>
      <c r="D70" s="289">
        <f t="shared" si="80"/>
        <v>155.63999999999999</v>
      </c>
      <c r="E70" s="290">
        <f t="shared" si="80"/>
        <v>166.4</v>
      </c>
      <c r="F70" s="288">
        <f t="shared" si="80"/>
        <v>118.96</v>
      </c>
      <c r="G70" s="289">
        <f>(0.24*G73+0.76*G74)*100</f>
        <v>128.12</v>
      </c>
      <c r="H70" s="290">
        <f t="shared" ref="H70" si="81">(0.24*H73+0.76*H74)*100</f>
        <v>137.16000000000003</v>
      </c>
      <c r="I70" s="288">
        <f t="shared" si="80"/>
        <v>102.08</v>
      </c>
      <c r="J70" s="289">
        <f>(0.24*J73+0.76*J74)*100</f>
        <v>109.96</v>
      </c>
      <c r="K70" s="290">
        <f t="shared" si="80"/>
        <v>117.48</v>
      </c>
    </row>
    <row r="71" spans="2:11" x14ac:dyDescent="0.3">
      <c r="B71" s="271" t="s">
        <v>244</v>
      </c>
      <c r="C71" s="299">
        <f>ROUND(C72,0)</f>
        <v>262</v>
      </c>
      <c r="D71" s="331">
        <f t="shared" si="79"/>
        <v>287</v>
      </c>
      <c r="E71" s="294">
        <f t="shared" si="79"/>
        <v>311</v>
      </c>
      <c r="F71" s="299">
        <f t="shared" si="79"/>
        <v>218</v>
      </c>
      <c r="G71" s="331">
        <f t="shared" si="79"/>
        <v>236</v>
      </c>
      <c r="H71" s="294">
        <f t="shared" si="79"/>
        <v>257</v>
      </c>
      <c r="I71" s="299">
        <f t="shared" si="79"/>
        <v>188</v>
      </c>
      <c r="J71" s="331">
        <f t="shared" si="79"/>
        <v>204</v>
      </c>
      <c r="K71" s="294">
        <f t="shared" si="79"/>
        <v>223</v>
      </c>
    </row>
    <row r="72" spans="2:11" x14ac:dyDescent="0.3">
      <c r="B72" s="271" t="s">
        <v>244</v>
      </c>
      <c r="C72" s="288">
        <f t="shared" ref="C72:K72" si="82">160*(3*C73+4*C74)/7+(C85+C86)*(525600-(+C76*3+C77*4)/7*160)/120000</f>
        <v>262.44380952380953</v>
      </c>
      <c r="D72" s="289">
        <f t="shared" si="82"/>
        <v>286.64742857142852</v>
      </c>
      <c r="E72" s="290">
        <f t="shared" si="82"/>
        <v>311.09428571428572</v>
      </c>
      <c r="F72" s="288">
        <f t="shared" si="82"/>
        <v>218.35714285714289</v>
      </c>
      <c r="G72" s="289">
        <f t="shared" si="82"/>
        <v>235.71904761904759</v>
      </c>
      <c r="H72" s="290">
        <f t="shared" si="82"/>
        <v>256.50285714285718</v>
      </c>
      <c r="I72" s="288">
        <f t="shared" si="82"/>
        <v>187.7304761904762</v>
      </c>
      <c r="J72" s="289">
        <f t="shared" si="82"/>
        <v>203.95238095238096</v>
      </c>
      <c r="K72" s="290">
        <f t="shared" si="82"/>
        <v>222.89904761904765</v>
      </c>
    </row>
    <row r="73" spans="2:11" ht="14.4" customHeight="1" x14ac:dyDescent="0.3">
      <c r="B73" s="271" t="s">
        <v>169</v>
      </c>
      <c r="C73" s="438">
        <v>2.14</v>
      </c>
      <c r="D73" s="312">
        <v>2.4</v>
      </c>
      <c r="E73" s="358">
        <v>2.69</v>
      </c>
      <c r="F73" s="438">
        <v>1.79</v>
      </c>
      <c r="G73" s="291">
        <v>1.95</v>
      </c>
      <c r="H73" s="63">
        <v>2.2000000000000002</v>
      </c>
      <c r="I73" s="302">
        <v>1.53</v>
      </c>
      <c r="J73" s="291">
        <v>1.7</v>
      </c>
      <c r="K73" s="63">
        <v>1.95</v>
      </c>
    </row>
    <row r="74" spans="2:11" ht="14.4" customHeight="1" x14ac:dyDescent="0.3">
      <c r="B74" s="271" t="s">
        <v>170</v>
      </c>
      <c r="C74" s="438">
        <v>1.22</v>
      </c>
      <c r="D74" s="312">
        <v>1.29</v>
      </c>
      <c r="E74" s="358">
        <v>1.34</v>
      </c>
      <c r="F74" s="438">
        <v>1</v>
      </c>
      <c r="G74" s="291">
        <v>1.07</v>
      </c>
      <c r="H74" s="63">
        <v>1.1100000000000001</v>
      </c>
      <c r="I74" s="302">
        <v>0.86</v>
      </c>
      <c r="J74" s="291">
        <v>0.91</v>
      </c>
      <c r="K74" s="63">
        <v>0.93</v>
      </c>
    </row>
    <row r="75" spans="2:11" x14ac:dyDescent="0.3">
      <c r="B75" s="271" t="s">
        <v>172</v>
      </c>
      <c r="C75" s="276">
        <f t="shared" ref="C75:I75" si="83">(+C76*0.24+C77*0.76)</f>
        <v>150.4</v>
      </c>
      <c r="D75" s="277">
        <f t="shared" si="83"/>
        <v>167.04</v>
      </c>
      <c r="E75" s="278">
        <f t="shared" si="83"/>
        <v>174</v>
      </c>
      <c r="F75" s="276">
        <f t="shared" si="83"/>
        <v>127.8</v>
      </c>
      <c r="G75" s="277">
        <f t="shared" si="83"/>
        <v>134</v>
      </c>
      <c r="H75" s="278">
        <f t="shared" si="83"/>
        <v>145.19999999999999</v>
      </c>
      <c r="I75" s="276">
        <f t="shared" si="83"/>
        <v>129.19999999999999</v>
      </c>
      <c r="J75" s="277">
        <f>(+J76*0.24+J77*0.76)</f>
        <v>134.19999999999999</v>
      </c>
      <c r="K75" s="278">
        <f t="shared" ref="K75" si="84">(+K76*0.24+K77*0.76)</f>
        <v>149</v>
      </c>
    </row>
    <row r="76" spans="2:11" x14ac:dyDescent="0.3">
      <c r="B76" s="271" t="s">
        <v>105</v>
      </c>
      <c r="C76" s="443">
        <v>215</v>
      </c>
      <c r="D76" s="343">
        <v>240</v>
      </c>
      <c r="E76" s="469">
        <v>250</v>
      </c>
      <c r="F76" s="299">
        <v>200</v>
      </c>
      <c r="G76" s="331">
        <v>210</v>
      </c>
      <c r="H76" s="294">
        <v>225</v>
      </c>
      <c r="I76" s="299">
        <v>190</v>
      </c>
      <c r="J76" s="331">
        <v>195</v>
      </c>
      <c r="K76" s="294">
        <v>225</v>
      </c>
    </row>
    <row r="77" spans="2:11" x14ac:dyDescent="0.3">
      <c r="B77" s="271" t="s">
        <v>106</v>
      </c>
      <c r="C77" s="443">
        <v>130</v>
      </c>
      <c r="D77" s="343">
        <v>144</v>
      </c>
      <c r="E77" s="469">
        <v>150</v>
      </c>
      <c r="F77" s="439">
        <v>105</v>
      </c>
      <c r="G77" s="331">
        <v>110</v>
      </c>
      <c r="H77" s="294">
        <v>120</v>
      </c>
      <c r="I77" s="299">
        <v>110</v>
      </c>
      <c r="J77" s="331">
        <v>115</v>
      </c>
      <c r="K77" s="294">
        <v>125</v>
      </c>
    </row>
    <row r="78" spans="2:11" x14ac:dyDescent="0.3">
      <c r="B78" s="271" t="s">
        <v>150</v>
      </c>
      <c r="C78" s="441">
        <f t="shared" ref="C78:I78" si="85">C76/1440</f>
        <v>0.14930555555555555</v>
      </c>
      <c r="D78" s="408">
        <f t="shared" si="85"/>
        <v>0.16666666666666666</v>
      </c>
      <c r="E78" s="440">
        <f t="shared" si="85"/>
        <v>0.1736111111111111</v>
      </c>
      <c r="F78" s="441">
        <f t="shared" si="85"/>
        <v>0.1388888888888889</v>
      </c>
      <c r="G78" s="408">
        <f t="shared" si="85"/>
        <v>0.14583333333333334</v>
      </c>
      <c r="H78" s="440">
        <f t="shared" si="85"/>
        <v>0.15625</v>
      </c>
      <c r="I78" s="441">
        <f t="shared" si="85"/>
        <v>0.13194444444444445</v>
      </c>
      <c r="J78" s="408">
        <f>J76/1440</f>
        <v>0.13541666666666666</v>
      </c>
      <c r="K78" s="440">
        <f>K76/1440</f>
        <v>0.15625</v>
      </c>
    </row>
    <row r="79" spans="2:11" x14ac:dyDescent="0.3">
      <c r="B79" s="272" t="s">
        <v>142</v>
      </c>
      <c r="C79" s="470" t="s">
        <v>77</v>
      </c>
      <c r="D79" s="410" t="s">
        <v>77</v>
      </c>
      <c r="E79" s="471" t="s">
        <v>77</v>
      </c>
      <c r="F79" s="299" t="s">
        <v>77</v>
      </c>
      <c r="G79" s="331" t="s">
        <v>77</v>
      </c>
      <c r="H79" s="294" t="s">
        <v>77</v>
      </c>
      <c r="I79" s="442" t="s">
        <v>77</v>
      </c>
      <c r="J79" s="411" t="s">
        <v>77</v>
      </c>
      <c r="K79" s="287" t="s">
        <v>77</v>
      </c>
    </row>
    <row r="80" spans="2:11" x14ac:dyDescent="0.3">
      <c r="B80" s="272" t="s">
        <v>107</v>
      </c>
      <c r="C80" s="276">
        <v>88</v>
      </c>
      <c r="D80" s="277">
        <v>88</v>
      </c>
      <c r="E80" s="278">
        <v>88</v>
      </c>
      <c r="F80" s="276">
        <v>88</v>
      </c>
      <c r="G80" s="277">
        <v>88</v>
      </c>
      <c r="H80" s="278">
        <v>88</v>
      </c>
      <c r="I80" s="276">
        <v>88</v>
      </c>
      <c r="J80" s="277">
        <v>88</v>
      </c>
      <c r="K80" s="278">
        <v>88</v>
      </c>
    </row>
    <row r="81" spans="2:11" x14ac:dyDescent="0.3">
      <c r="B81" s="272" t="s">
        <v>108</v>
      </c>
      <c r="C81" s="443">
        <v>88</v>
      </c>
      <c r="D81" s="284">
        <v>88</v>
      </c>
      <c r="E81" s="472">
        <v>88</v>
      </c>
      <c r="F81" s="299">
        <v>88</v>
      </c>
      <c r="G81" s="331">
        <v>88</v>
      </c>
      <c r="H81" s="294">
        <v>88</v>
      </c>
      <c r="I81" s="299">
        <v>88</v>
      </c>
      <c r="J81" s="331">
        <v>88</v>
      </c>
      <c r="K81" s="294">
        <v>88</v>
      </c>
    </row>
    <row r="82" spans="2:11" x14ac:dyDescent="0.3">
      <c r="B82" s="272" t="s">
        <v>109</v>
      </c>
      <c r="C82" s="443">
        <v>88</v>
      </c>
      <c r="D82" s="284">
        <v>88</v>
      </c>
      <c r="E82" s="472">
        <v>88</v>
      </c>
      <c r="F82" s="299">
        <v>88</v>
      </c>
      <c r="G82" s="331">
        <v>88</v>
      </c>
      <c r="H82" s="294">
        <v>88</v>
      </c>
      <c r="I82" s="276">
        <v>88</v>
      </c>
      <c r="J82" s="277">
        <v>88</v>
      </c>
      <c r="K82" s="278">
        <v>88</v>
      </c>
    </row>
    <row r="83" spans="2:11" x14ac:dyDescent="0.3">
      <c r="B83" s="271" t="s">
        <v>110</v>
      </c>
      <c r="C83" s="443">
        <v>65</v>
      </c>
      <c r="D83" s="277">
        <v>65</v>
      </c>
      <c r="E83" s="278">
        <v>65</v>
      </c>
      <c r="F83" s="299">
        <v>65</v>
      </c>
      <c r="G83" s="331">
        <v>65</v>
      </c>
      <c r="H83" s="294">
        <v>65</v>
      </c>
      <c r="I83" s="443">
        <v>64</v>
      </c>
      <c r="J83" s="331">
        <v>64</v>
      </c>
      <c r="K83" s="294">
        <v>64</v>
      </c>
    </row>
    <row r="84" spans="2:11" x14ac:dyDescent="0.3">
      <c r="B84" s="271" t="s">
        <v>143</v>
      </c>
      <c r="C84" s="443" t="s">
        <v>70</v>
      </c>
      <c r="D84" s="284" t="s">
        <v>70</v>
      </c>
      <c r="E84" s="472" t="s">
        <v>70</v>
      </c>
      <c r="F84" s="299" t="s">
        <v>70</v>
      </c>
      <c r="G84" s="331" t="s">
        <v>70</v>
      </c>
      <c r="H84" s="294" t="s">
        <v>70</v>
      </c>
      <c r="I84" s="443" t="s">
        <v>77</v>
      </c>
      <c r="J84" s="284" t="s">
        <v>77</v>
      </c>
      <c r="K84" s="294" t="s">
        <v>77</v>
      </c>
    </row>
    <row r="85" spans="2:11" x14ac:dyDescent="0.3">
      <c r="B85" s="271" t="s">
        <v>111</v>
      </c>
      <c r="C85" s="282">
        <v>0.5</v>
      </c>
      <c r="D85" s="275">
        <v>0.5</v>
      </c>
      <c r="E85" s="283">
        <v>0.5</v>
      </c>
      <c r="F85" s="282">
        <v>0.5</v>
      </c>
      <c r="G85" s="275">
        <v>0.5</v>
      </c>
      <c r="H85" s="283">
        <v>0.5</v>
      </c>
      <c r="I85" s="282">
        <v>0.5</v>
      </c>
      <c r="J85" s="275">
        <v>0.5</v>
      </c>
      <c r="K85" s="283">
        <v>0.5</v>
      </c>
    </row>
    <row r="86" spans="2:11" x14ac:dyDescent="0.3">
      <c r="B86" s="271" t="s">
        <v>112</v>
      </c>
      <c r="C86" s="282">
        <v>0.5</v>
      </c>
      <c r="D86" s="275">
        <v>0.5</v>
      </c>
      <c r="E86" s="283">
        <v>0.5</v>
      </c>
      <c r="F86" s="282">
        <v>0.5</v>
      </c>
      <c r="G86" s="275">
        <v>0.5</v>
      </c>
      <c r="H86" s="283">
        <v>0.5</v>
      </c>
      <c r="I86" s="282">
        <v>0.5</v>
      </c>
      <c r="J86" s="275">
        <v>0.5</v>
      </c>
      <c r="K86" s="283">
        <v>0.5</v>
      </c>
    </row>
    <row r="87" spans="2:11" ht="15" thickBot="1" x14ac:dyDescent="0.35">
      <c r="B87" s="271" t="s">
        <v>113</v>
      </c>
      <c r="C87" s="308">
        <v>16</v>
      </c>
      <c r="D87" s="306">
        <v>16</v>
      </c>
      <c r="E87" s="337">
        <v>16</v>
      </c>
      <c r="F87" s="308">
        <v>16</v>
      </c>
      <c r="G87" s="444">
        <v>16</v>
      </c>
      <c r="H87" s="445">
        <v>16</v>
      </c>
      <c r="I87" s="446">
        <v>16</v>
      </c>
      <c r="J87" s="447">
        <v>16</v>
      </c>
      <c r="K87" s="445">
        <v>16</v>
      </c>
    </row>
    <row r="90" spans="2:11" ht="24" customHeight="1" thickBot="1" x14ac:dyDescent="0.35">
      <c r="B90" s="226"/>
      <c r="C90" s="828" t="s">
        <v>144</v>
      </c>
      <c r="D90" s="828"/>
      <c r="E90" s="828"/>
      <c r="F90" s="828"/>
      <c r="G90" s="227"/>
      <c r="H90" s="227"/>
      <c r="I90" s="228"/>
      <c r="J90" s="228"/>
      <c r="K90" s="228"/>
    </row>
    <row r="91" spans="2:11" x14ac:dyDescent="0.3">
      <c r="B91" s="270" t="s">
        <v>100</v>
      </c>
      <c r="C91" s="370">
        <v>6</v>
      </c>
      <c r="D91" s="318">
        <v>7</v>
      </c>
      <c r="E91" s="370">
        <v>6</v>
      </c>
      <c r="F91" s="286">
        <v>7</v>
      </c>
      <c r="G91" s="229"/>
      <c r="H91" s="229"/>
      <c r="I91" s="229"/>
      <c r="J91" s="229"/>
      <c r="K91" s="229"/>
    </row>
    <row r="92" spans="2:11" x14ac:dyDescent="0.3">
      <c r="B92" s="270" t="s">
        <v>101</v>
      </c>
      <c r="C92" s="340" t="s">
        <v>102</v>
      </c>
      <c r="D92" s="393" t="s">
        <v>102</v>
      </c>
      <c r="E92" s="340" t="s">
        <v>103</v>
      </c>
      <c r="F92" s="379" t="s">
        <v>103</v>
      </c>
      <c r="G92" s="88"/>
      <c r="H92" s="88"/>
      <c r="I92" s="230"/>
      <c r="J92" s="88"/>
      <c r="K92" s="231"/>
    </row>
    <row r="93" spans="2:11" x14ac:dyDescent="0.3">
      <c r="B93" s="344" t="s">
        <v>140</v>
      </c>
      <c r="C93" s="376"/>
      <c r="D93" s="375" t="s">
        <v>76</v>
      </c>
      <c r="E93" s="376" t="s">
        <v>74</v>
      </c>
      <c r="F93" s="377" t="s">
        <v>75</v>
      </c>
      <c r="G93" s="232"/>
      <c r="H93" s="232"/>
      <c r="I93" s="233"/>
      <c r="J93" s="232"/>
      <c r="K93" s="234"/>
    </row>
    <row r="94" spans="2:11" x14ac:dyDescent="0.3">
      <c r="B94" s="271" t="s">
        <v>146</v>
      </c>
      <c r="C94" s="299"/>
      <c r="D94" s="320">
        <v>269</v>
      </c>
      <c r="E94" s="330">
        <v>186</v>
      </c>
      <c r="F94" s="294">
        <v>211</v>
      </c>
      <c r="G94" s="235"/>
      <c r="H94" s="235" t="s">
        <v>145</v>
      </c>
      <c r="I94" s="236"/>
      <c r="J94" s="235"/>
      <c r="K94" s="237"/>
    </row>
    <row r="95" spans="2:11" x14ac:dyDescent="0.3">
      <c r="B95" s="271" t="s">
        <v>146</v>
      </c>
      <c r="C95" s="274"/>
      <c r="D95" s="394">
        <v>268.8</v>
      </c>
      <c r="E95" s="350">
        <v>186.3</v>
      </c>
      <c r="F95" s="381">
        <v>210.5</v>
      </c>
      <c r="G95" s="235"/>
      <c r="H95" s="235"/>
      <c r="I95" s="236"/>
      <c r="J95" s="235"/>
      <c r="K95" s="237"/>
    </row>
    <row r="96" spans="2:11" x14ac:dyDescent="0.3">
      <c r="B96" s="292" t="s">
        <v>147</v>
      </c>
      <c r="C96" s="380"/>
      <c r="D96" s="395">
        <v>145</v>
      </c>
      <c r="E96" s="389">
        <v>100</v>
      </c>
      <c r="F96" s="384">
        <v>112</v>
      </c>
      <c r="G96" s="88"/>
      <c r="H96" s="88"/>
      <c r="I96" s="88"/>
      <c r="J96" s="88"/>
      <c r="K96" s="231"/>
    </row>
    <row r="97" spans="2:11" x14ac:dyDescent="0.3">
      <c r="B97" s="271" t="s">
        <v>147</v>
      </c>
      <c r="C97" s="378"/>
      <c r="D97" s="394">
        <v>145.19999999999999</v>
      </c>
      <c r="E97" s="350">
        <v>100</v>
      </c>
      <c r="F97" s="381">
        <v>111.6</v>
      </c>
      <c r="G97" s="88"/>
      <c r="H97" s="88"/>
      <c r="I97" s="230"/>
      <c r="J97" s="88"/>
      <c r="K97" s="231"/>
    </row>
    <row r="98" spans="2:11" ht="28.8" x14ac:dyDescent="0.3">
      <c r="B98" s="271" t="s">
        <v>148</v>
      </c>
      <c r="C98" s="282"/>
      <c r="D98" s="281">
        <v>2.25</v>
      </c>
      <c r="E98" s="310">
        <v>1.54</v>
      </c>
      <c r="F98" s="283">
        <v>1.8</v>
      </c>
      <c r="G98" s="88"/>
      <c r="H98" s="88"/>
      <c r="I98" s="230"/>
      <c r="J98" s="88"/>
      <c r="K98" s="231"/>
    </row>
    <row r="99" spans="2:11" ht="28.8" x14ac:dyDescent="0.3">
      <c r="B99" s="271" t="s">
        <v>149</v>
      </c>
      <c r="C99" s="378"/>
      <c r="D99" s="280">
        <v>1.2</v>
      </c>
      <c r="E99" s="349">
        <v>0.83</v>
      </c>
      <c r="F99" s="336">
        <v>0.9</v>
      </c>
      <c r="G99" s="238"/>
      <c r="H99" s="238"/>
      <c r="I99" s="87"/>
      <c r="J99" s="238"/>
      <c r="K99" s="239"/>
    </row>
    <row r="100" spans="2:11" x14ac:dyDescent="0.3">
      <c r="B100" s="271" t="s">
        <v>171</v>
      </c>
      <c r="C100" s="349"/>
      <c r="D100" s="320">
        <v>184.57142857142858</v>
      </c>
      <c r="E100" s="299">
        <v>155.71428571428572</v>
      </c>
      <c r="F100" s="294">
        <v>170</v>
      </c>
      <c r="G100" s="88"/>
      <c r="H100" s="88"/>
      <c r="I100" s="88"/>
      <c r="J100" s="88"/>
      <c r="K100" s="231"/>
    </row>
    <row r="101" spans="2:11" x14ac:dyDescent="0.3">
      <c r="B101" s="271" t="s">
        <v>172</v>
      </c>
      <c r="C101" s="314"/>
      <c r="D101" s="279">
        <v>164.96</v>
      </c>
      <c r="E101" s="314">
        <v>137.80000000000001</v>
      </c>
      <c r="F101" s="278">
        <v>150.19999999999999</v>
      </c>
      <c r="G101" s="88"/>
      <c r="H101" s="88"/>
      <c r="I101" s="88"/>
      <c r="J101" s="88"/>
      <c r="K101" s="231"/>
    </row>
    <row r="102" spans="2:11" x14ac:dyDescent="0.3">
      <c r="B102" s="271" t="s">
        <v>105</v>
      </c>
      <c r="C102" s="342"/>
      <c r="D102" s="319">
        <v>244</v>
      </c>
      <c r="E102" s="342">
        <v>210</v>
      </c>
      <c r="F102" s="287">
        <v>230</v>
      </c>
      <c r="G102" s="88"/>
      <c r="H102" s="88"/>
      <c r="I102" s="88"/>
      <c r="J102" s="88"/>
      <c r="K102" s="231"/>
    </row>
    <row r="103" spans="2:11" x14ac:dyDescent="0.3">
      <c r="B103" s="271" t="s">
        <v>106</v>
      </c>
      <c r="C103" s="342"/>
      <c r="D103" s="319">
        <v>140</v>
      </c>
      <c r="E103" s="342">
        <v>115</v>
      </c>
      <c r="F103" s="287">
        <v>125</v>
      </c>
      <c r="G103" s="88"/>
      <c r="H103" s="88"/>
      <c r="I103" s="230"/>
      <c r="J103" s="88"/>
      <c r="K103" s="231"/>
    </row>
    <row r="104" spans="2:11" x14ac:dyDescent="0.3">
      <c r="B104" s="292" t="s">
        <v>150</v>
      </c>
      <c r="C104" s="390"/>
      <c r="D104" s="392">
        <v>0.16944444444444445</v>
      </c>
      <c r="E104" s="396">
        <v>0.14583333333333334</v>
      </c>
      <c r="F104" s="361">
        <v>0.15972222222222221</v>
      </c>
      <c r="G104" s="235"/>
      <c r="H104" s="235"/>
      <c r="I104" s="235"/>
      <c r="J104" s="235"/>
      <c r="K104" s="235"/>
    </row>
    <row r="105" spans="2:11" x14ac:dyDescent="0.3">
      <c r="B105" s="272" t="s">
        <v>141</v>
      </c>
      <c r="C105" s="388"/>
      <c r="D105" s="386" t="s">
        <v>77</v>
      </c>
      <c r="E105" s="388" t="s">
        <v>77</v>
      </c>
      <c r="F105" s="383" t="s">
        <v>77</v>
      </c>
      <c r="G105" s="235"/>
      <c r="H105" s="235"/>
      <c r="I105" s="235"/>
      <c r="J105" s="235"/>
      <c r="K105" s="235"/>
    </row>
    <row r="106" spans="2:11" x14ac:dyDescent="0.3">
      <c r="B106" s="345" t="s">
        <v>142</v>
      </c>
      <c r="C106" s="391"/>
      <c r="D106" s="385" t="s">
        <v>70</v>
      </c>
      <c r="E106" s="391" t="s">
        <v>70</v>
      </c>
      <c r="F106" s="382" t="s">
        <v>70</v>
      </c>
      <c r="G106" s="238"/>
      <c r="H106" s="88"/>
      <c r="I106" s="88"/>
      <c r="J106" s="88"/>
      <c r="K106" s="238"/>
    </row>
    <row r="107" spans="2:11" x14ac:dyDescent="0.3">
      <c r="B107" s="360" t="s">
        <v>107</v>
      </c>
      <c r="C107" s="341"/>
      <c r="D107" s="365">
        <v>84</v>
      </c>
      <c r="E107" s="341">
        <v>84</v>
      </c>
      <c r="F107" s="328">
        <v>84</v>
      </c>
      <c r="G107" s="235"/>
      <c r="H107" s="240"/>
      <c r="I107" s="240"/>
      <c r="J107" s="240"/>
      <c r="K107" s="240"/>
    </row>
    <row r="108" spans="2:11" x14ac:dyDescent="0.3">
      <c r="B108" s="272" t="s">
        <v>108</v>
      </c>
      <c r="C108" s="314"/>
      <c r="D108" s="279">
        <v>84</v>
      </c>
      <c r="E108" s="314">
        <v>84</v>
      </c>
      <c r="F108" s="278">
        <v>84</v>
      </c>
      <c r="G108" s="88"/>
      <c r="H108" s="241"/>
      <c r="I108" s="241"/>
      <c r="J108" s="241"/>
      <c r="K108" s="241"/>
    </row>
    <row r="109" spans="2:11" x14ac:dyDescent="0.3">
      <c r="B109" s="272" t="s">
        <v>109</v>
      </c>
      <c r="C109" s="314"/>
      <c r="D109" s="279">
        <v>84</v>
      </c>
      <c r="E109" s="314">
        <v>84</v>
      </c>
      <c r="F109" s="278">
        <v>84</v>
      </c>
      <c r="G109" s="235"/>
      <c r="H109" s="235"/>
      <c r="I109" s="235"/>
      <c r="J109" s="235"/>
      <c r="K109" s="235"/>
    </row>
    <row r="110" spans="2:11" x14ac:dyDescent="0.3">
      <c r="B110" s="292" t="s">
        <v>110</v>
      </c>
      <c r="C110" s="341"/>
      <c r="D110" s="365">
        <v>67</v>
      </c>
      <c r="E110" s="341">
        <v>67</v>
      </c>
      <c r="F110" s="328">
        <v>67</v>
      </c>
      <c r="G110" s="88"/>
      <c r="H110" s="88"/>
      <c r="I110" s="88"/>
      <c r="J110" s="88"/>
      <c r="K110" s="88"/>
    </row>
    <row r="111" spans="2:11" x14ac:dyDescent="0.3">
      <c r="B111" s="346" t="s">
        <v>143</v>
      </c>
      <c r="C111" s="314"/>
      <c r="D111" s="279" t="s">
        <v>70</v>
      </c>
      <c r="E111" s="314" t="s">
        <v>70</v>
      </c>
      <c r="F111" s="278" t="s">
        <v>70</v>
      </c>
      <c r="G111" s="235"/>
      <c r="H111" s="235"/>
      <c r="I111" s="235"/>
      <c r="J111" s="235"/>
      <c r="K111" s="235"/>
    </row>
    <row r="112" spans="2:11" x14ac:dyDescent="0.3">
      <c r="B112" s="271" t="s">
        <v>111</v>
      </c>
      <c r="C112" s="310"/>
      <c r="D112" s="281">
        <v>0.5</v>
      </c>
      <c r="E112" s="310">
        <v>0.5</v>
      </c>
      <c r="F112" s="283">
        <v>0.5</v>
      </c>
      <c r="G112" s="88"/>
      <c r="H112" s="88"/>
      <c r="I112" s="88"/>
      <c r="J112" s="88"/>
      <c r="K112" s="88"/>
    </row>
    <row r="113" spans="2:7" x14ac:dyDescent="0.3">
      <c r="B113" s="271" t="s">
        <v>112</v>
      </c>
      <c r="C113" s="310"/>
      <c r="D113" s="281">
        <v>0.5</v>
      </c>
      <c r="E113" s="310">
        <v>0.5</v>
      </c>
      <c r="F113" s="283">
        <v>0.5</v>
      </c>
    </row>
    <row r="114" spans="2:7" x14ac:dyDescent="0.3">
      <c r="B114" s="271" t="s">
        <v>113</v>
      </c>
      <c r="C114" s="314"/>
      <c r="D114" s="279">
        <v>5</v>
      </c>
      <c r="E114" s="314">
        <v>5</v>
      </c>
      <c r="F114" s="278">
        <v>5</v>
      </c>
    </row>
    <row r="115" spans="2:7" x14ac:dyDescent="0.3">
      <c r="B115" s="271" t="s">
        <v>114</v>
      </c>
      <c r="C115" s="310"/>
      <c r="D115" s="281">
        <v>2.835</v>
      </c>
      <c r="E115" s="310">
        <v>1.9404000000000001</v>
      </c>
      <c r="F115" s="283">
        <v>2.2680000000000002</v>
      </c>
    </row>
    <row r="116" spans="2:7" x14ac:dyDescent="0.3">
      <c r="B116" s="271" t="s">
        <v>115</v>
      </c>
      <c r="C116" s="314"/>
      <c r="D116" s="279">
        <v>302.56</v>
      </c>
      <c r="E116" s="314">
        <v>266.7</v>
      </c>
      <c r="F116" s="278">
        <v>292.10000000000002</v>
      </c>
    </row>
    <row r="117" spans="2:7" x14ac:dyDescent="0.3">
      <c r="B117" s="271" t="s">
        <v>116</v>
      </c>
      <c r="C117" s="310"/>
      <c r="D117" s="281">
        <v>2.6324999999999998</v>
      </c>
      <c r="E117" s="310">
        <v>1.6940000000000002</v>
      </c>
      <c r="F117" s="283">
        <v>1.9800000000000002</v>
      </c>
    </row>
    <row r="118" spans="2:7" x14ac:dyDescent="0.3">
      <c r="B118" s="271" t="s">
        <v>115</v>
      </c>
      <c r="C118" s="314"/>
      <c r="D118" s="279">
        <v>278.15999999999997</v>
      </c>
      <c r="E118" s="314">
        <v>241.49999999999997</v>
      </c>
      <c r="F118" s="278">
        <v>264.5</v>
      </c>
    </row>
    <row r="119" spans="2:7" x14ac:dyDescent="0.3">
      <c r="B119" s="387" t="s">
        <v>117</v>
      </c>
      <c r="C119" s="310"/>
      <c r="D119" s="281">
        <v>1.8</v>
      </c>
      <c r="E119" s="310">
        <v>1.2320000000000002</v>
      </c>
      <c r="F119" s="283">
        <v>1.4400000000000002</v>
      </c>
    </row>
    <row r="120" spans="2:7" ht="15" thickBot="1" x14ac:dyDescent="0.35">
      <c r="B120" s="271" t="s">
        <v>118</v>
      </c>
      <c r="C120" s="316"/>
      <c r="D120" s="339">
        <v>195.20000000000002</v>
      </c>
      <c r="E120" s="316">
        <v>168</v>
      </c>
      <c r="F120" s="337">
        <v>184</v>
      </c>
    </row>
    <row r="121" spans="2:7" x14ac:dyDescent="0.3">
      <c r="B121" s="269"/>
      <c r="C121" s="88"/>
      <c r="D121" s="88"/>
      <c r="E121" s="88"/>
      <c r="F121" s="88"/>
    </row>
    <row r="122" spans="2:7" ht="15" thickBot="1" x14ac:dyDescent="0.35"/>
    <row r="123" spans="2:7" ht="24" customHeight="1" thickBot="1" x14ac:dyDescent="0.35">
      <c r="C123" s="829" t="s">
        <v>173</v>
      </c>
      <c r="D123" s="830"/>
      <c r="E123" s="830"/>
      <c r="F123" s="830"/>
      <c r="G123" s="831"/>
    </row>
    <row r="124" spans="2:7" x14ac:dyDescent="0.3">
      <c r="B124" s="270" t="s">
        <v>100</v>
      </c>
      <c r="C124" s="370">
        <v>6</v>
      </c>
      <c r="D124" s="317">
        <v>7</v>
      </c>
      <c r="E124" s="318">
        <v>8</v>
      </c>
      <c r="F124" s="371">
        <v>9</v>
      </c>
      <c r="G124" s="372">
        <v>10</v>
      </c>
    </row>
    <row r="125" spans="2:7" x14ac:dyDescent="0.3">
      <c r="B125" s="270" t="s">
        <v>101</v>
      </c>
      <c r="C125" s="324" t="s">
        <v>77</v>
      </c>
      <c r="D125" s="321" t="s">
        <v>77</v>
      </c>
      <c r="E125" s="325" t="s">
        <v>77</v>
      </c>
      <c r="F125" s="321" t="s">
        <v>77</v>
      </c>
      <c r="G125" s="326" t="s">
        <v>77</v>
      </c>
    </row>
    <row r="126" spans="2:7" x14ac:dyDescent="0.3">
      <c r="B126" s="344" t="s">
        <v>140</v>
      </c>
      <c r="C126" s="324" t="s">
        <v>84</v>
      </c>
      <c r="D126" s="321" t="s">
        <v>84</v>
      </c>
      <c r="E126" s="325" t="s">
        <v>84</v>
      </c>
      <c r="F126" s="321" t="s">
        <v>84</v>
      </c>
      <c r="G126" s="326" t="s">
        <v>84</v>
      </c>
    </row>
    <row r="127" spans="2:7" x14ac:dyDescent="0.3">
      <c r="B127" s="271" t="s">
        <v>146</v>
      </c>
      <c r="C127" s="276">
        <v>445</v>
      </c>
      <c r="D127" s="284">
        <v>503.7</v>
      </c>
      <c r="E127" s="347">
        <v>561</v>
      </c>
      <c r="F127" s="343">
        <v>616</v>
      </c>
      <c r="G127" s="348">
        <v>671</v>
      </c>
    </row>
    <row r="128" spans="2:7" x14ac:dyDescent="0.3">
      <c r="B128" s="271" t="s">
        <v>146</v>
      </c>
      <c r="C128" s="274">
        <v>445.3</v>
      </c>
      <c r="D128" s="273">
        <v>504.1</v>
      </c>
      <c r="E128" s="309">
        <v>561.20000000000005</v>
      </c>
      <c r="F128" s="296">
        <v>616</v>
      </c>
      <c r="G128" s="297">
        <v>670.9</v>
      </c>
    </row>
    <row r="129" spans="2:7" x14ac:dyDescent="0.3">
      <c r="B129" s="292" t="s">
        <v>147</v>
      </c>
      <c r="C129" s="295">
        <v>244</v>
      </c>
      <c r="D129" s="327">
        <v>276</v>
      </c>
      <c r="E129" s="327">
        <v>307</v>
      </c>
      <c r="F129" s="327">
        <v>337</v>
      </c>
      <c r="G129" s="328">
        <v>366</v>
      </c>
    </row>
    <row r="130" spans="2:7" x14ac:dyDescent="0.3">
      <c r="B130" s="271" t="s">
        <v>147</v>
      </c>
      <c r="C130" s="288">
        <v>244.36</v>
      </c>
      <c r="D130" s="289">
        <v>276.36</v>
      </c>
      <c r="E130" s="289">
        <v>307.36</v>
      </c>
      <c r="F130" s="289">
        <v>337.11999999999995</v>
      </c>
      <c r="G130" s="290">
        <v>365.55999999999995</v>
      </c>
    </row>
    <row r="131" spans="2:7" ht="28.8" x14ac:dyDescent="0.3">
      <c r="B131" s="271" t="s">
        <v>169</v>
      </c>
      <c r="C131" s="282">
        <v>3.69</v>
      </c>
      <c r="D131" s="355">
        <v>4.2</v>
      </c>
      <c r="E131" s="311">
        <v>4.7</v>
      </c>
      <c r="F131" s="312">
        <v>5.18</v>
      </c>
      <c r="G131" s="313">
        <v>5.7</v>
      </c>
    </row>
    <row r="132" spans="2:7" ht="28.8" x14ac:dyDescent="0.3">
      <c r="B132" s="271" t="s">
        <v>170</v>
      </c>
      <c r="C132" s="310">
        <v>2.0499999999999998</v>
      </c>
      <c r="D132" s="355">
        <v>2.31</v>
      </c>
      <c r="E132" s="311">
        <v>2.56</v>
      </c>
      <c r="F132" s="311">
        <v>2.8</v>
      </c>
      <c r="G132" s="358">
        <v>3.01</v>
      </c>
    </row>
    <row r="133" spans="2:7" x14ac:dyDescent="0.3">
      <c r="B133" s="271" t="s">
        <v>171</v>
      </c>
      <c r="C133" s="330">
        <v>105</v>
      </c>
      <c r="D133" s="331">
        <v>114.85714285714286</v>
      </c>
      <c r="E133" s="331">
        <v>125.57142857142857</v>
      </c>
      <c r="F133" s="331">
        <v>138</v>
      </c>
      <c r="G133" s="359">
        <v>147.28571428571428</v>
      </c>
    </row>
    <row r="134" spans="2:7" x14ac:dyDescent="0.3">
      <c r="B134" s="271" t="s">
        <v>172</v>
      </c>
      <c r="C134" s="276">
        <v>95.76</v>
      </c>
      <c r="D134" s="277">
        <v>103.92</v>
      </c>
      <c r="E134" s="277">
        <v>112.56</v>
      </c>
      <c r="F134" s="277">
        <v>122.16</v>
      </c>
      <c r="G134" s="278">
        <v>130.88</v>
      </c>
    </row>
    <row r="135" spans="2:7" x14ac:dyDescent="0.3">
      <c r="B135" s="271" t="s">
        <v>105</v>
      </c>
      <c r="C135" s="314">
        <v>133</v>
      </c>
      <c r="D135" s="285">
        <v>148</v>
      </c>
      <c r="E135" s="347">
        <v>165</v>
      </c>
      <c r="F135" s="347">
        <v>186</v>
      </c>
      <c r="G135" s="294">
        <v>197</v>
      </c>
    </row>
    <row r="136" spans="2:7" x14ac:dyDescent="0.3">
      <c r="B136" s="271" t="s">
        <v>106</v>
      </c>
      <c r="C136" s="373">
        <v>84</v>
      </c>
      <c r="D136" s="356">
        <v>90</v>
      </c>
      <c r="E136" s="332">
        <v>96</v>
      </c>
      <c r="F136" s="332">
        <v>102</v>
      </c>
      <c r="G136" s="294">
        <v>110</v>
      </c>
    </row>
    <row r="137" spans="2:7" x14ac:dyDescent="0.3">
      <c r="B137" s="292" t="s">
        <v>150</v>
      </c>
      <c r="C137" s="362">
        <v>9.2361111111111116E-2</v>
      </c>
      <c r="D137" s="363">
        <v>0.10277777777777777</v>
      </c>
      <c r="E137" s="363">
        <v>0.11458333333333333</v>
      </c>
      <c r="F137" s="363">
        <v>0.12916666666666668</v>
      </c>
      <c r="G137" s="361">
        <v>0.13680555555555557</v>
      </c>
    </row>
    <row r="138" spans="2:7" x14ac:dyDescent="0.3">
      <c r="B138" s="272" t="s">
        <v>141</v>
      </c>
      <c r="C138" s="315" t="s">
        <v>70</v>
      </c>
      <c r="D138" s="351" t="s">
        <v>70</v>
      </c>
      <c r="E138" s="351" t="s">
        <v>70</v>
      </c>
      <c r="F138" s="351" t="s">
        <v>70</v>
      </c>
      <c r="G138" s="287" t="s">
        <v>70</v>
      </c>
    </row>
    <row r="139" spans="2:7" x14ac:dyDescent="0.3">
      <c r="B139" s="345" t="s">
        <v>142</v>
      </c>
      <c r="C139" s="364" t="s">
        <v>74</v>
      </c>
      <c r="D139" s="293" t="s">
        <v>74</v>
      </c>
      <c r="E139" s="293" t="s">
        <v>74</v>
      </c>
      <c r="F139" s="293" t="s">
        <v>74</v>
      </c>
      <c r="G139" s="338" t="s">
        <v>74</v>
      </c>
    </row>
    <row r="140" spans="2:7" x14ac:dyDescent="0.3">
      <c r="B140" s="360" t="s">
        <v>107</v>
      </c>
      <c r="C140" s="341">
        <v>71</v>
      </c>
      <c r="D140" s="365">
        <v>71</v>
      </c>
      <c r="E140" s="365">
        <v>71</v>
      </c>
      <c r="F140" s="365">
        <v>71</v>
      </c>
      <c r="G140" s="328">
        <v>71</v>
      </c>
    </row>
    <row r="141" spans="2:7" x14ac:dyDescent="0.3">
      <c r="B141" s="272" t="s">
        <v>108</v>
      </c>
      <c r="C141" s="334">
        <v>71</v>
      </c>
      <c r="D141" s="335">
        <v>71</v>
      </c>
      <c r="E141" s="335">
        <v>71</v>
      </c>
      <c r="F141" s="335">
        <v>71</v>
      </c>
      <c r="G141" s="294">
        <v>71</v>
      </c>
    </row>
    <row r="142" spans="2:7" x14ac:dyDescent="0.3">
      <c r="B142" s="272" t="s">
        <v>109</v>
      </c>
      <c r="C142" s="334">
        <v>71</v>
      </c>
      <c r="D142" s="335">
        <v>71</v>
      </c>
      <c r="E142" s="335">
        <v>71</v>
      </c>
      <c r="F142" s="335">
        <v>71</v>
      </c>
      <c r="G142" s="294">
        <v>71</v>
      </c>
    </row>
    <row r="143" spans="2:7" x14ac:dyDescent="0.3">
      <c r="B143" s="292" t="s">
        <v>110</v>
      </c>
      <c r="C143" s="354">
        <v>70</v>
      </c>
      <c r="D143" s="352">
        <v>69</v>
      </c>
      <c r="E143" s="352">
        <v>69</v>
      </c>
      <c r="F143" s="352">
        <v>68</v>
      </c>
      <c r="G143" s="329">
        <v>68</v>
      </c>
    </row>
    <row r="144" spans="2:7" x14ac:dyDescent="0.3">
      <c r="B144" s="346" t="s">
        <v>143</v>
      </c>
      <c r="C144" s="333" t="s">
        <v>74</v>
      </c>
      <c r="D144" s="352" t="s">
        <v>74</v>
      </c>
      <c r="E144" s="352" t="s">
        <v>74</v>
      </c>
      <c r="F144" s="352" t="s">
        <v>70</v>
      </c>
      <c r="G144" s="353" t="s">
        <v>70</v>
      </c>
    </row>
    <row r="145" spans="2:12" x14ac:dyDescent="0.3">
      <c r="B145" s="271" t="s">
        <v>111</v>
      </c>
      <c r="C145" s="310">
        <v>0.5</v>
      </c>
      <c r="D145" s="281">
        <v>0.5</v>
      </c>
      <c r="E145" s="281">
        <v>0.5</v>
      </c>
      <c r="F145" s="281">
        <v>0.5</v>
      </c>
      <c r="G145" s="283">
        <v>0.5</v>
      </c>
    </row>
    <row r="146" spans="2:12" x14ac:dyDescent="0.3">
      <c r="B146" s="271" t="s">
        <v>112</v>
      </c>
      <c r="C146" s="310">
        <v>0.5</v>
      </c>
      <c r="D146" s="281">
        <v>0.5</v>
      </c>
      <c r="E146" s="281">
        <v>0.5</v>
      </c>
      <c r="F146" s="281">
        <v>0.5</v>
      </c>
      <c r="G146" s="283">
        <v>0.5</v>
      </c>
    </row>
    <row r="147" spans="2:12" x14ac:dyDescent="0.3">
      <c r="B147" s="271" t="s">
        <v>113</v>
      </c>
      <c r="C147" s="349">
        <v>5</v>
      </c>
      <c r="D147" s="277">
        <v>5</v>
      </c>
      <c r="E147" s="279">
        <v>5</v>
      </c>
      <c r="F147" s="279">
        <v>5</v>
      </c>
      <c r="G147" s="336">
        <v>5</v>
      </c>
    </row>
    <row r="148" spans="2:12" x14ac:dyDescent="0.3">
      <c r="B148" s="271" t="s">
        <v>114</v>
      </c>
      <c r="C148" s="282">
        <v>4.6124999999999998</v>
      </c>
      <c r="D148" s="300">
        <v>5.25</v>
      </c>
      <c r="E148" s="357">
        <v>5.875</v>
      </c>
      <c r="F148" s="300">
        <v>6.4749999999999996</v>
      </c>
      <c r="G148" s="301">
        <v>7.125</v>
      </c>
    </row>
    <row r="149" spans="2:12" x14ac:dyDescent="0.3">
      <c r="B149" s="271" t="s">
        <v>115</v>
      </c>
      <c r="C149" s="276">
        <v>166.25</v>
      </c>
      <c r="D149" s="303">
        <v>185</v>
      </c>
      <c r="E149" s="303">
        <v>206.25</v>
      </c>
      <c r="F149" s="303">
        <v>232.5</v>
      </c>
      <c r="G149" s="304">
        <v>246.25</v>
      </c>
    </row>
    <row r="150" spans="2:12" x14ac:dyDescent="0.3">
      <c r="B150" s="271" t="s">
        <v>116</v>
      </c>
      <c r="C150" s="282">
        <v>4.0590000000000002</v>
      </c>
      <c r="D150" s="275">
        <v>4.620000000000001</v>
      </c>
      <c r="E150" s="275">
        <v>5.1700000000000008</v>
      </c>
      <c r="F150" s="275">
        <v>5.6980000000000004</v>
      </c>
      <c r="G150" s="305">
        <v>6.2700000000000005</v>
      </c>
    </row>
    <row r="151" spans="2:12" x14ac:dyDescent="0.3">
      <c r="B151" s="271" t="s">
        <v>115</v>
      </c>
      <c r="C151" s="276">
        <v>146.30000000000001</v>
      </c>
      <c r="D151" s="277">
        <v>162.80000000000001</v>
      </c>
      <c r="E151" s="277">
        <v>181.50000000000003</v>
      </c>
      <c r="F151" s="277">
        <v>204.60000000000002</v>
      </c>
      <c r="G151" s="298">
        <v>216.70000000000002</v>
      </c>
    </row>
    <row r="152" spans="2:12" x14ac:dyDescent="0.3">
      <c r="B152" s="269" t="s">
        <v>117</v>
      </c>
      <c r="C152" s="282">
        <v>2.952</v>
      </c>
      <c r="D152" s="275">
        <v>3.3600000000000003</v>
      </c>
      <c r="E152" s="275">
        <v>3.7600000000000002</v>
      </c>
      <c r="F152" s="275">
        <v>4.1440000000000001</v>
      </c>
      <c r="G152" s="305">
        <v>4.5600000000000005</v>
      </c>
    </row>
    <row r="153" spans="2:12" ht="15" thickBot="1" x14ac:dyDescent="0.35">
      <c r="B153" s="271" t="s">
        <v>118</v>
      </c>
      <c r="C153" s="308">
        <v>106.4</v>
      </c>
      <c r="D153" s="306">
        <v>118.4</v>
      </c>
      <c r="E153" s="306">
        <v>132</v>
      </c>
      <c r="F153" s="306">
        <v>148.80000000000001</v>
      </c>
      <c r="G153" s="307">
        <v>157.60000000000002</v>
      </c>
    </row>
    <row r="155" spans="2:12" ht="15" thickBot="1" x14ac:dyDescent="0.35"/>
    <row r="156" spans="2:12" ht="24" customHeight="1" thickBot="1" x14ac:dyDescent="0.35">
      <c r="B156" s="86"/>
      <c r="C156" s="825" t="s">
        <v>174</v>
      </c>
      <c r="D156" s="826"/>
      <c r="E156" s="826"/>
      <c r="F156" s="826"/>
      <c r="G156" s="827"/>
      <c r="H156" s="825" t="s">
        <v>175</v>
      </c>
      <c r="I156" s="826"/>
      <c r="J156" s="826"/>
      <c r="K156" s="826"/>
      <c r="L156" s="827"/>
    </row>
    <row r="157" spans="2:12" x14ac:dyDescent="0.3">
      <c r="B157" s="270" t="s">
        <v>100</v>
      </c>
      <c r="C157" s="370">
        <v>6</v>
      </c>
      <c r="D157" s="317">
        <v>7</v>
      </c>
      <c r="E157" s="318">
        <v>8</v>
      </c>
      <c r="F157" s="371">
        <v>9</v>
      </c>
      <c r="G157" s="372">
        <v>10</v>
      </c>
      <c r="H157" s="370">
        <v>6</v>
      </c>
      <c r="I157" s="317">
        <v>7</v>
      </c>
      <c r="J157" s="318">
        <v>8</v>
      </c>
      <c r="K157" s="371">
        <v>9</v>
      </c>
      <c r="L157" s="372">
        <v>10</v>
      </c>
    </row>
    <row r="158" spans="2:12" x14ac:dyDescent="0.3">
      <c r="B158" s="270" t="s">
        <v>101</v>
      </c>
      <c r="C158" s="324" t="s">
        <v>70</v>
      </c>
      <c r="D158" s="321" t="s">
        <v>70</v>
      </c>
      <c r="E158" s="325" t="s">
        <v>70</v>
      </c>
      <c r="F158" s="321" t="s">
        <v>70</v>
      </c>
      <c r="G158" s="326" t="s">
        <v>70</v>
      </c>
      <c r="H158" s="324" t="s">
        <v>70</v>
      </c>
      <c r="I158" s="321" t="s">
        <v>70</v>
      </c>
      <c r="J158" s="325" t="s">
        <v>70</v>
      </c>
      <c r="K158" s="321" t="s">
        <v>70</v>
      </c>
      <c r="L158" s="326" t="s">
        <v>70</v>
      </c>
    </row>
    <row r="159" spans="2:12" x14ac:dyDescent="0.3">
      <c r="B159" s="344" t="s">
        <v>140</v>
      </c>
      <c r="C159" s="324" t="s">
        <v>84</v>
      </c>
      <c r="D159" s="321" t="s">
        <v>84</v>
      </c>
      <c r="E159" s="325" t="s">
        <v>84</v>
      </c>
      <c r="F159" s="321" t="s">
        <v>84</v>
      </c>
      <c r="G159" s="326" t="s">
        <v>84</v>
      </c>
      <c r="H159" s="324" t="s">
        <v>84</v>
      </c>
      <c r="I159" s="321" t="s">
        <v>84</v>
      </c>
      <c r="J159" s="325" t="s">
        <v>84</v>
      </c>
      <c r="K159" s="321" t="s">
        <v>84</v>
      </c>
      <c r="L159" s="326" t="s">
        <v>84</v>
      </c>
    </row>
    <row r="160" spans="2:12" x14ac:dyDescent="0.3">
      <c r="B160" s="271" t="s">
        <v>146</v>
      </c>
      <c r="C160" s="276">
        <v>460</v>
      </c>
      <c r="D160" s="284">
        <v>522</v>
      </c>
      <c r="E160" s="347">
        <v>582</v>
      </c>
      <c r="F160" s="343">
        <v>640</v>
      </c>
      <c r="G160" s="348">
        <v>695</v>
      </c>
      <c r="H160" s="276">
        <v>458</v>
      </c>
      <c r="I160" s="284">
        <v>519</v>
      </c>
      <c r="J160" s="347">
        <v>578</v>
      </c>
      <c r="K160" s="343">
        <v>636.20000000000005</v>
      </c>
      <c r="L160" s="348">
        <v>691</v>
      </c>
    </row>
    <row r="161" spans="2:12" x14ac:dyDescent="0.3">
      <c r="B161" s="271" t="s">
        <v>146</v>
      </c>
      <c r="C161" s="274">
        <v>460.2</v>
      </c>
      <c r="D161" s="273">
        <v>521.9</v>
      </c>
      <c r="E161" s="309">
        <v>581.6</v>
      </c>
      <c r="F161" s="296">
        <v>639.6</v>
      </c>
      <c r="G161" s="297">
        <v>695.4</v>
      </c>
      <c r="H161" s="274">
        <v>457.9</v>
      </c>
      <c r="I161" s="273">
        <v>518.9</v>
      </c>
      <c r="J161" s="309">
        <v>578.29999999999995</v>
      </c>
      <c r="K161" s="296">
        <v>636.20000000000005</v>
      </c>
      <c r="L161" s="297">
        <v>691.5</v>
      </c>
    </row>
    <row r="162" spans="2:12" x14ac:dyDescent="0.3">
      <c r="B162" s="292" t="s">
        <v>147</v>
      </c>
      <c r="C162" s="295">
        <v>253.08</v>
      </c>
      <c r="D162" s="327">
        <v>287.88</v>
      </c>
      <c r="E162" s="327">
        <v>320.64</v>
      </c>
      <c r="F162" s="327">
        <v>351.08000000000004</v>
      </c>
      <c r="G162" s="328">
        <v>375</v>
      </c>
      <c r="H162" s="295">
        <v>251.84000000000003</v>
      </c>
      <c r="I162" s="327">
        <v>286.39999999999998</v>
      </c>
      <c r="J162" s="327">
        <v>318.64</v>
      </c>
      <c r="K162" s="327">
        <v>348.56</v>
      </c>
      <c r="L162" s="328">
        <v>372.76</v>
      </c>
    </row>
    <row r="163" spans="2:12" x14ac:dyDescent="0.3">
      <c r="B163" s="271" t="s">
        <v>147</v>
      </c>
      <c r="C163" s="288">
        <v>253.08</v>
      </c>
      <c r="D163" s="289">
        <v>287.88</v>
      </c>
      <c r="E163" s="289">
        <v>320.64</v>
      </c>
      <c r="F163" s="289">
        <v>351.08000000000004</v>
      </c>
      <c r="G163" s="290">
        <v>375</v>
      </c>
      <c r="H163" s="288">
        <v>251.84000000000003</v>
      </c>
      <c r="I163" s="289">
        <v>286.39999999999998</v>
      </c>
      <c r="J163" s="289">
        <v>318.64</v>
      </c>
      <c r="K163" s="289">
        <v>348.56</v>
      </c>
      <c r="L163" s="290">
        <v>372.76</v>
      </c>
    </row>
    <row r="164" spans="2:12" ht="28.8" x14ac:dyDescent="0.3">
      <c r="B164" s="271" t="s">
        <v>169</v>
      </c>
      <c r="C164" s="282">
        <v>3.8</v>
      </c>
      <c r="D164" s="355">
        <v>4.3</v>
      </c>
      <c r="E164" s="311">
        <v>4.8099999999999996</v>
      </c>
      <c r="F164" s="312">
        <v>5.35</v>
      </c>
      <c r="G164" s="313">
        <v>6.03</v>
      </c>
      <c r="H164" s="282">
        <v>3.78</v>
      </c>
      <c r="I164" s="355">
        <v>4.2699999999999996</v>
      </c>
      <c r="J164" s="311">
        <v>4.79</v>
      </c>
      <c r="K164" s="312">
        <v>5.34</v>
      </c>
      <c r="L164" s="313">
        <v>6</v>
      </c>
    </row>
    <row r="165" spans="2:12" ht="28.8" x14ac:dyDescent="0.3">
      <c r="B165" s="271" t="s">
        <v>170</v>
      </c>
      <c r="C165" s="310">
        <v>2.13</v>
      </c>
      <c r="D165" s="355">
        <v>2.4300000000000002</v>
      </c>
      <c r="E165" s="311">
        <v>2.7</v>
      </c>
      <c r="F165" s="311">
        <v>2.93</v>
      </c>
      <c r="G165" s="358">
        <v>3.03</v>
      </c>
      <c r="H165" s="310">
        <v>2.12</v>
      </c>
      <c r="I165" s="355">
        <v>2.42</v>
      </c>
      <c r="J165" s="311">
        <v>2.68</v>
      </c>
      <c r="K165" s="311">
        <v>2.9</v>
      </c>
      <c r="L165" s="358">
        <v>3.01</v>
      </c>
    </row>
    <row r="166" spans="2:12" x14ac:dyDescent="0.3">
      <c r="B166" s="271" t="s">
        <v>171</v>
      </c>
      <c r="C166" s="330">
        <v>90.428571428571431</v>
      </c>
      <c r="D166" s="320">
        <v>97.571428571428569</v>
      </c>
      <c r="E166" s="320">
        <v>108.42857142857143</v>
      </c>
      <c r="F166" s="320">
        <v>116.71428571428571</v>
      </c>
      <c r="G166" s="294">
        <v>129.57142857142858</v>
      </c>
      <c r="H166" s="330">
        <v>97.857142857142861</v>
      </c>
      <c r="I166" s="320">
        <v>105.42857142857143</v>
      </c>
      <c r="J166" s="320">
        <v>116.14285714285714</v>
      </c>
      <c r="K166" s="320">
        <v>124.85714285714286</v>
      </c>
      <c r="L166" s="294">
        <v>138.28571428571428</v>
      </c>
    </row>
    <row r="167" spans="2:12" x14ac:dyDescent="0.3">
      <c r="B167" s="271" t="s">
        <v>172</v>
      </c>
      <c r="C167" s="276">
        <v>81</v>
      </c>
      <c r="D167" s="277">
        <v>87.2</v>
      </c>
      <c r="E167" s="277">
        <v>96.36</v>
      </c>
      <c r="F167" s="277">
        <v>104.07999999999998</v>
      </c>
      <c r="G167" s="278">
        <v>113.91999999999999</v>
      </c>
      <c r="H167" s="276">
        <v>86.92</v>
      </c>
      <c r="I167" s="277">
        <v>93.36</v>
      </c>
      <c r="J167" s="277">
        <v>102</v>
      </c>
      <c r="K167" s="277">
        <v>109.96</v>
      </c>
      <c r="L167" s="278">
        <v>120.56</v>
      </c>
    </row>
    <row r="168" spans="2:12" x14ac:dyDescent="0.3">
      <c r="B168" s="271" t="s">
        <v>105</v>
      </c>
      <c r="C168" s="314">
        <v>119</v>
      </c>
      <c r="D168" s="285">
        <v>129</v>
      </c>
      <c r="E168" s="347">
        <v>145</v>
      </c>
      <c r="F168" s="347">
        <v>155</v>
      </c>
      <c r="G168" s="294">
        <v>177</v>
      </c>
      <c r="H168" s="314">
        <v>131</v>
      </c>
      <c r="I168" s="285">
        <v>142</v>
      </c>
      <c r="J168" s="347">
        <v>159</v>
      </c>
      <c r="K168" s="347">
        <v>170</v>
      </c>
      <c r="L168" s="294">
        <v>192</v>
      </c>
    </row>
    <row r="169" spans="2:12" x14ac:dyDescent="0.3">
      <c r="B169" s="271" t="s">
        <v>106</v>
      </c>
      <c r="C169" s="373">
        <v>69</v>
      </c>
      <c r="D169" s="356">
        <v>74</v>
      </c>
      <c r="E169" s="332">
        <v>81</v>
      </c>
      <c r="F169" s="332">
        <v>88</v>
      </c>
      <c r="G169" s="294">
        <v>94</v>
      </c>
      <c r="H169" s="373">
        <v>73</v>
      </c>
      <c r="I169" s="356">
        <v>78</v>
      </c>
      <c r="J169" s="332">
        <v>84</v>
      </c>
      <c r="K169" s="332">
        <v>91</v>
      </c>
      <c r="L169" s="294">
        <v>98</v>
      </c>
    </row>
    <row r="170" spans="2:12" x14ac:dyDescent="0.3">
      <c r="B170" s="292" t="s">
        <v>150</v>
      </c>
      <c r="C170" s="362">
        <v>8.2638888888888887E-2</v>
      </c>
      <c r="D170" s="363">
        <v>8.9583333333333334E-2</v>
      </c>
      <c r="E170" s="363">
        <v>0.10069444444444445</v>
      </c>
      <c r="F170" s="363">
        <v>0.1076388888888889</v>
      </c>
      <c r="G170" s="361">
        <v>0.12291666666666666</v>
      </c>
      <c r="H170" s="362">
        <v>9.0972222222222218E-2</v>
      </c>
      <c r="I170" s="363">
        <v>9.8611111111111108E-2</v>
      </c>
      <c r="J170" s="363">
        <v>0.11041666666666666</v>
      </c>
      <c r="K170" s="363">
        <v>0.11805555555555555</v>
      </c>
      <c r="L170" s="361">
        <v>0.13333333333333333</v>
      </c>
    </row>
    <row r="171" spans="2:12" x14ac:dyDescent="0.3">
      <c r="B171" s="272" t="s">
        <v>141</v>
      </c>
      <c r="C171" s="315" t="s">
        <v>176</v>
      </c>
      <c r="D171" s="351" t="s">
        <v>176</v>
      </c>
      <c r="E171" s="351" t="s">
        <v>176</v>
      </c>
      <c r="F171" s="351" t="s">
        <v>176</v>
      </c>
      <c r="G171" s="287" t="s">
        <v>176</v>
      </c>
      <c r="H171" s="315" t="s">
        <v>176</v>
      </c>
      <c r="I171" s="351" t="s">
        <v>176</v>
      </c>
      <c r="J171" s="351" t="s">
        <v>176</v>
      </c>
      <c r="K171" s="351" t="s">
        <v>176</v>
      </c>
      <c r="L171" s="287" t="s">
        <v>176</v>
      </c>
    </row>
    <row r="172" spans="2:12" x14ac:dyDescent="0.3">
      <c r="B172" s="345" t="s">
        <v>142</v>
      </c>
      <c r="C172" s="364" t="s">
        <v>176</v>
      </c>
      <c r="D172" s="293" t="s">
        <v>176</v>
      </c>
      <c r="E172" s="293" t="s">
        <v>176</v>
      </c>
      <c r="F172" s="293" t="s">
        <v>176</v>
      </c>
      <c r="G172" s="338" t="s">
        <v>176</v>
      </c>
      <c r="H172" s="364" t="s">
        <v>176</v>
      </c>
      <c r="I172" s="293" t="s">
        <v>176</v>
      </c>
      <c r="J172" s="293" t="s">
        <v>176</v>
      </c>
      <c r="K172" s="293" t="s">
        <v>176</v>
      </c>
      <c r="L172" s="338" t="s">
        <v>176</v>
      </c>
    </row>
    <row r="173" spans="2:12" x14ac:dyDescent="0.3">
      <c r="B173" s="360" t="s">
        <v>107</v>
      </c>
      <c r="C173" s="341" t="s">
        <v>176</v>
      </c>
      <c r="D173" s="365" t="s">
        <v>176</v>
      </c>
      <c r="E173" s="365" t="s">
        <v>176</v>
      </c>
      <c r="F173" s="365" t="s">
        <v>176</v>
      </c>
      <c r="G173" s="328" t="s">
        <v>176</v>
      </c>
      <c r="H173" s="341" t="s">
        <v>176</v>
      </c>
      <c r="I173" s="365" t="s">
        <v>176</v>
      </c>
      <c r="J173" s="365" t="s">
        <v>176</v>
      </c>
      <c r="K173" s="365" t="s">
        <v>176</v>
      </c>
      <c r="L173" s="328" t="s">
        <v>176</v>
      </c>
    </row>
    <row r="174" spans="2:12" x14ac:dyDescent="0.3">
      <c r="B174" s="272" t="s">
        <v>108</v>
      </c>
      <c r="C174" s="334" t="s">
        <v>176</v>
      </c>
      <c r="D174" s="335" t="s">
        <v>176</v>
      </c>
      <c r="E174" s="335" t="s">
        <v>176</v>
      </c>
      <c r="F174" s="335" t="s">
        <v>176</v>
      </c>
      <c r="G174" s="294" t="s">
        <v>176</v>
      </c>
      <c r="H174" s="334" t="s">
        <v>176</v>
      </c>
      <c r="I174" s="335" t="s">
        <v>176</v>
      </c>
      <c r="J174" s="335" t="s">
        <v>176</v>
      </c>
      <c r="K174" s="335" t="s">
        <v>176</v>
      </c>
      <c r="L174" s="294" t="s">
        <v>176</v>
      </c>
    </row>
    <row r="175" spans="2:12" x14ac:dyDescent="0.3">
      <c r="B175" s="272" t="s">
        <v>109</v>
      </c>
      <c r="C175" s="334" t="s">
        <v>176</v>
      </c>
      <c r="D175" s="335" t="s">
        <v>176</v>
      </c>
      <c r="E175" s="335" t="s">
        <v>176</v>
      </c>
      <c r="F175" s="335" t="s">
        <v>176</v>
      </c>
      <c r="G175" s="294" t="s">
        <v>176</v>
      </c>
      <c r="H175" s="334" t="s">
        <v>176</v>
      </c>
      <c r="I175" s="335" t="s">
        <v>176</v>
      </c>
      <c r="J175" s="335" t="s">
        <v>176</v>
      </c>
      <c r="K175" s="335" t="s">
        <v>176</v>
      </c>
      <c r="L175" s="294" t="s">
        <v>176</v>
      </c>
    </row>
    <row r="176" spans="2:12" x14ac:dyDescent="0.3">
      <c r="B176" s="292" t="s">
        <v>110</v>
      </c>
      <c r="C176" s="354">
        <v>68</v>
      </c>
      <c r="D176" s="352">
        <v>68</v>
      </c>
      <c r="E176" s="352">
        <v>67</v>
      </c>
      <c r="F176" s="352">
        <v>67</v>
      </c>
      <c r="G176" s="329">
        <v>67</v>
      </c>
      <c r="H176" s="354">
        <v>68</v>
      </c>
      <c r="I176" s="352">
        <v>68</v>
      </c>
      <c r="J176" s="352">
        <v>67</v>
      </c>
      <c r="K176" s="352">
        <v>67</v>
      </c>
      <c r="L176" s="329">
        <v>67</v>
      </c>
    </row>
    <row r="177" spans="2:12" x14ac:dyDescent="0.3">
      <c r="B177" s="346" t="s">
        <v>143</v>
      </c>
      <c r="C177" s="333" t="s">
        <v>74</v>
      </c>
      <c r="D177" s="352" t="s">
        <v>74</v>
      </c>
      <c r="E177" s="352" t="s">
        <v>74</v>
      </c>
      <c r="F177" s="352" t="s">
        <v>70</v>
      </c>
      <c r="G177" s="353" t="s">
        <v>70</v>
      </c>
      <c r="H177" s="333" t="s">
        <v>74</v>
      </c>
      <c r="I177" s="352" t="s">
        <v>74</v>
      </c>
      <c r="J177" s="352" t="s">
        <v>74</v>
      </c>
      <c r="K177" s="352" t="s">
        <v>70</v>
      </c>
      <c r="L177" s="353" t="s">
        <v>70</v>
      </c>
    </row>
    <row r="178" spans="2:12" x14ac:dyDescent="0.3">
      <c r="B178" s="271" t="s">
        <v>111</v>
      </c>
      <c r="C178" s="310">
        <v>0.5</v>
      </c>
      <c r="D178" s="281">
        <v>0.5</v>
      </c>
      <c r="E178" s="281">
        <v>0.5</v>
      </c>
      <c r="F178" s="281">
        <v>0.5</v>
      </c>
      <c r="G178" s="283">
        <v>0.5</v>
      </c>
      <c r="H178" s="310">
        <v>0.5</v>
      </c>
      <c r="I178" s="281">
        <v>0.5</v>
      </c>
      <c r="J178" s="281">
        <v>0.5</v>
      </c>
      <c r="K178" s="281">
        <v>0.5</v>
      </c>
      <c r="L178" s="283">
        <v>0.5</v>
      </c>
    </row>
    <row r="179" spans="2:12" x14ac:dyDescent="0.3">
      <c r="B179" s="271" t="s">
        <v>112</v>
      </c>
      <c r="C179" s="310">
        <v>0.5</v>
      </c>
      <c r="D179" s="281">
        <v>0.5</v>
      </c>
      <c r="E179" s="281">
        <v>0.5</v>
      </c>
      <c r="F179" s="281">
        <v>0.5</v>
      </c>
      <c r="G179" s="283">
        <v>0.5</v>
      </c>
      <c r="H179" s="310">
        <v>0.5</v>
      </c>
      <c r="I179" s="281">
        <v>0.5</v>
      </c>
      <c r="J179" s="281">
        <v>0.5</v>
      </c>
      <c r="K179" s="281">
        <v>0.5</v>
      </c>
      <c r="L179" s="283">
        <v>0.5</v>
      </c>
    </row>
    <row r="180" spans="2:12" x14ac:dyDescent="0.3">
      <c r="B180" s="271" t="s">
        <v>113</v>
      </c>
      <c r="C180" s="349">
        <v>5</v>
      </c>
      <c r="D180" s="277">
        <v>5</v>
      </c>
      <c r="E180" s="279">
        <v>5</v>
      </c>
      <c r="F180" s="279">
        <v>5</v>
      </c>
      <c r="G180" s="336">
        <v>5</v>
      </c>
      <c r="H180" s="349">
        <v>5</v>
      </c>
      <c r="I180" s="277">
        <v>5</v>
      </c>
      <c r="J180" s="279">
        <v>5</v>
      </c>
      <c r="K180" s="279">
        <v>5</v>
      </c>
      <c r="L180" s="336">
        <v>5</v>
      </c>
    </row>
    <row r="181" spans="2:12" x14ac:dyDescent="0.3">
      <c r="B181" s="271" t="s">
        <v>114</v>
      </c>
      <c r="C181" s="282">
        <v>4.75</v>
      </c>
      <c r="D181" s="300">
        <v>5.375</v>
      </c>
      <c r="E181" s="357">
        <v>6.0124999999999993</v>
      </c>
      <c r="F181" s="300">
        <v>6.6875</v>
      </c>
      <c r="G181" s="301">
        <v>7.5375000000000005</v>
      </c>
      <c r="H181" s="282">
        <v>4.7249999999999996</v>
      </c>
      <c r="I181" s="300">
        <v>5.3374999999999995</v>
      </c>
      <c r="J181" s="357">
        <v>5.9874999999999998</v>
      </c>
      <c r="K181" s="300">
        <v>6.6749999999999998</v>
      </c>
      <c r="L181" s="301">
        <v>7.5</v>
      </c>
    </row>
    <row r="182" spans="2:12" x14ac:dyDescent="0.3">
      <c r="B182" s="271" t="s">
        <v>115</v>
      </c>
      <c r="C182" s="276">
        <v>148.75</v>
      </c>
      <c r="D182" s="303">
        <v>161.25</v>
      </c>
      <c r="E182" s="303">
        <v>181.25</v>
      </c>
      <c r="F182" s="303">
        <v>193.75</v>
      </c>
      <c r="G182" s="304">
        <v>221.25</v>
      </c>
      <c r="H182" s="276">
        <v>163.75</v>
      </c>
      <c r="I182" s="303">
        <v>177.5</v>
      </c>
      <c r="J182" s="303">
        <v>198.75</v>
      </c>
      <c r="K182" s="303">
        <v>212.5</v>
      </c>
      <c r="L182" s="304">
        <v>240</v>
      </c>
    </row>
    <row r="183" spans="2:12" x14ac:dyDescent="0.3">
      <c r="B183" s="271" t="s">
        <v>116</v>
      </c>
      <c r="C183" s="282">
        <v>4.18</v>
      </c>
      <c r="D183" s="275">
        <v>4.7300000000000004</v>
      </c>
      <c r="E183" s="275">
        <v>5.2910000000000004</v>
      </c>
      <c r="F183" s="275">
        <v>5.8849999999999998</v>
      </c>
      <c r="G183" s="305">
        <v>6.6330000000000009</v>
      </c>
      <c r="H183" s="282">
        <v>4.1580000000000004</v>
      </c>
      <c r="I183" s="275">
        <v>4.6970000000000001</v>
      </c>
      <c r="J183" s="275">
        <v>5.2690000000000001</v>
      </c>
      <c r="K183" s="275">
        <v>5.8740000000000006</v>
      </c>
      <c r="L183" s="305">
        <v>6.6000000000000005</v>
      </c>
    </row>
    <row r="184" spans="2:12" x14ac:dyDescent="0.3">
      <c r="B184" s="271" t="s">
        <v>115</v>
      </c>
      <c r="C184" s="276">
        <v>130.9</v>
      </c>
      <c r="D184" s="277">
        <v>141.9</v>
      </c>
      <c r="E184" s="277">
        <v>159.5</v>
      </c>
      <c r="F184" s="277">
        <v>170.5</v>
      </c>
      <c r="G184" s="298">
        <v>194.70000000000002</v>
      </c>
      <c r="H184" s="276">
        <v>144.10000000000002</v>
      </c>
      <c r="I184" s="277">
        <v>156.20000000000002</v>
      </c>
      <c r="J184" s="277">
        <v>174.9</v>
      </c>
      <c r="K184" s="277">
        <v>187.00000000000003</v>
      </c>
      <c r="L184" s="298">
        <v>211.20000000000002</v>
      </c>
    </row>
    <row r="185" spans="2:12" x14ac:dyDescent="0.3">
      <c r="B185" s="269" t="s">
        <v>117</v>
      </c>
      <c r="C185" s="282">
        <v>3.04</v>
      </c>
      <c r="D185" s="275">
        <v>3.44</v>
      </c>
      <c r="E185" s="275">
        <v>3.8479999999999999</v>
      </c>
      <c r="F185" s="275">
        <v>4.28</v>
      </c>
      <c r="G185" s="305">
        <v>4.8240000000000007</v>
      </c>
      <c r="H185" s="282">
        <v>3.024</v>
      </c>
      <c r="I185" s="275">
        <v>3.4159999999999999</v>
      </c>
      <c r="J185" s="275">
        <v>3.8320000000000003</v>
      </c>
      <c r="K185" s="275">
        <v>4.2720000000000002</v>
      </c>
      <c r="L185" s="305">
        <v>4.8000000000000007</v>
      </c>
    </row>
    <row r="186" spans="2:12" ht="15" thickBot="1" x14ac:dyDescent="0.35">
      <c r="B186" s="271" t="s">
        <v>118</v>
      </c>
      <c r="C186" s="308">
        <v>95.2</v>
      </c>
      <c r="D186" s="306">
        <v>103.2</v>
      </c>
      <c r="E186" s="306">
        <v>116</v>
      </c>
      <c r="F186" s="306">
        <v>124</v>
      </c>
      <c r="G186" s="307">
        <v>141.6</v>
      </c>
      <c r="H186" s="308">
        <v>104.80000000000001</v>
      </c>
      <c r="I186" s="306">
        <v>113.60000000000001</v>
      </c>
      <c r="J186" s="306">
        <v>127.2</v>
      </c>
      <c r="K186" s="306">
        <v>136</v>
      </c>
      <c r="L186" s="307">
        <v>153.60000000000002</v>
      </c>
    </row>
  </sheetData>
  <mergeCells count="7">
    <mergeCell ref="C156:G156"/>
    <mergeCell ref="H156:L156"/>
    <mergeCell ref="C90:F90"/>
    <mergeCell ref="C123:G123"/>
    <mergeCell ref="C3:AB3"/>
    <mergeCell ref="C34:AB34"/>
    <mergeCell ref="C65:K6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2:AQ142"/>
  <sheetViews>
    <sheetView zoomScale="40" zoomScaleNormal="40" workbookViewId="0">
      <selection activeCell="Q124" sqref="Q124"/>
    </sheetView>
  </sheetViews>
  <sheetFormatPr defaultRowHeight="14.4" x14ac:dyDescent="0.3"/>
  <cols>
    <col min="4" max="4" width="59.109375" customWidth="1"/>
    <col min="5" max="5" width="11.44140625" customWidth="1"/>
    <col min="6" max="6" width="10.5546875" bestFit="1" customWidth="1"/>
    <col min="7" max="7" width="11" customWidth="1"/>
    <col min="8" max="8" width="11.5546875" bestFit="1" customWidth="1"/>
    <col min="9" max="9" width="11.5546875" customWidth="1"/>
    <col min="10" max="12" width="10.5546875" bestFit="1" customWidth="1"/>
    <col min="13" max="13" width="11" customWidth="1"/>
    <col min="14" max="14" width="10.5546875" bestFit="1" customWidth="1"/>
    <col min="15" max="15" width="10" customWidth="1"/>
    <col min="16" max="17" width="11.5546875" bestFit="1" customWidth="1"/>
    <col min="18" max="18" width="10" customWidth="1"/>
    <col min="19" max="20" width="11.5546875" bestFit="1" customWidth="1"/>
  </cols>
  <sheetData>
    <row r="2" spans="4:43" x14ac:dyDescent="0.3">
      <c r="AE2" s="474"/>
      <c r="AF2" s="474"/>
      <c r="AG2" s="474"/>
    </row>
    <row r="3" spans="4:43" ht="15" thickBot="1" x14ac:dyDescent="0.35">
      <c r="D3" s="475" t="s">
        <v>248</v>
      </c>
      <c r="E3" s="850">
        <v>1</v>
      </c>
      <c r="F3" s="850"/>
      <c r="G3" s="850"/>
      <c r="H3" s="850"/>
      <c r="I3" s="850"/>
      <c r="J3" s="850"/>
      <c r="K3" s="850">
        <v>2</v>
      </c>
      <c r="L3" s="850"/>
      <c r="M3" s="850"/>
      <c r="N3" s="850"/>
      <c r="O3" s="850"/>
      <c r="P3" s="850">
        <v>3</v>
      </c>
      <c r="Q3" s="850"/>
      <c r="R3" s="850"/>
      <c r="S3" s="838">
        <v>4</v>
      </c>
      <c r="T3" s="839"/>
      <c r="U3" s="840"/>
      <c r="V3" s="838">
        <v>5</v>
      </c>
      <c r="W3" s="839"/>
      <c r="X3" s="839"/>
      <c r="Y3" s="839"/>
      <c r="Z3" s="840"/>
      <c r="AA3" s="838">
        <v>6</v>
      </c>
      <c r="AB3" s="839"/>
      <c r="AC3" s="839"/>
      <c r="AD3" s="839"/>
      <c r="AE3" s="840"/>
      <c r="AF3" s="841">
        <v>7</v>
      </c>
      <c r="AG3" s="842"/>
      <c r="AH3" s="842"/>
      <c r="AI3" s="842"/>
      <c r="AJ3" s="842"/>
      <c r="AK3" s="842"/>
      <c r="AL3" s="843"/>
      <c r="AM3" s="841">
        <v>8</v>
      </c>
      <c r="AN3" s="842"/>
      <c r="AO3" s="842"/>
      <c r="AP3" s="842"/>
      <c r="AQ3" s="843"/>
    </row>
    <row r="4" spans="4:43" ht="15" thickBot="1" x14ac:dyDescent="0.35">
      <c r="E4" s="844" t="s">
        <v>249</v>
      </c>
      <c r="F4" s="845"/>
      <c r="G4" s="845"/>
      <c r="H4" s="845"/>
      <c r="I4" s="845"/>
      <c r="J4" s="846"/>
      <c r="K4" s="844" t="s">
        <v>249</v>
      </c>
      <c r="L4" s="845"/>
      <c r="M4" s="845"/>
      <c r="N4" s="845"/>
      <c r="O4" s="846"/>
      <c r="P4" s="847" t="s">
        <v>250</v>
      </c>
      <c r="Q4" s="848"/>
      <c r="R4" s="849"/>
      <c r="S4" s="847" t="s">
        <v>251</v>
      </c>
      <c r="T4" s="848"/>
      <c r="U4" s="849"/>
      <c r="V4" s="847" t="s">
        <v>252</v>
      </c>
      <c r="W4" s="848"/>
      <c r="X4" s="848"/>
      <c r="Y4" s="848"/>
      <c r="Z4" s="849"/>
      <c r="AA4" s="847" t="s">
        <v>252</v>
      </c>
      <c r="AB4" s="848"/>
      <c r="AC4" s="848"/>
      <c r="AD4" s="848"/>
      <c r="AE4" s="849"/>
      <c r="AF4" s="847" t="s">
        <v>253</v>
      </c>
      <c r="AG4" s="848"/>
      <c r="AH4" s="848"/>
      <c r="AI4" s="848"/>
      <c r="AJ4" s="848"/>
      <c r="AK4" s="848"/>
      <c r="AL4" s="849"/>
      <c r="AM4" s="847" t="s">
        <v>253</v>
      </c>
      <c r="AN4" s="848"/>
      <c r="AO4" s="848"/>
      <c r="AP4" s="848"/>
      <c r="AQ4" s="849"/>
    </row>
    <row r="5" spans="4:43" x14ac:dyDescent="0.3">
      <c r="D5" s="270" t="s">
        <v>100</v>
      </c>
      <c r="E5" s="476">
        <v>7</v>
      </c>
      <c r="F5" s="317">
        <v>8</v>
      </c>
      <c r="G5" s="477">
        <v>8.01</v>
      </c>
      <c r="H5" s="477">
        <v>9</v>
      </c>
      <c r="I5" s="318">
        <v>10</v>
      </c>
      <c r="J5" s="318">
        <v>11</v>
      </c>
      <c r="K5" s="370">
        <v>7</v>
      </c>
      <c r="L5" s="317">
        <v>8</v>
      </c>
      <c r="M5" s="318">
        <v>9</v>
      </c>
      <c r="N5" s="371">
        <v>10</v>
      </c>
      <c r="O5" s="372">
        <v>11</v>
      </c>
      <c r="P5" s="478">
        <v>7</v>
      </c>
      <c r="Q5" s="477">
        <v>8</v>
      </c>
      <c r="R5" s="318">
        <v>9</v>
      </c>
      <c r="S5" s="479">
        <v>7</v>
      </c>
      <c r="T5" s="477">
        <v>8</v>
      </c>
      <c r="U5" s="286">
        <v>9</v>
      </c>
      <c r="V5" s="477">
        <v>7</v>
      </c>
      <c r="W5" s="317">
        <v>8</v>
      </c>
      <c r="X5" s="318">
        <v>9</v>
      </c>
      <c r="Y5" s="371">
        <v>10</v>
      </c>
      <c r="Z5" s="318">
        <v>11</v>
      </c>
      <c r="AA5" s="480"/>
      <c r="AB5" s="481">
        <v>8</v>
      </c>
      <c r="AC5" s="481">
        <v>9</v>
      </c>
      <c r="AD5" s="481">
        <v>10</v>
      </c>
      <c r="AE5" s="482">
        <v>11</v>
      </c>
      <c r="AF5" s="483"/>
      <c r="AG5" s="481">
        <v>8</v>
      </c>
      <c r="AH5" s="481">
        <v>9</v>
      </c>
      <c r="AI5" s="481">
        <v>10</v>
      </c>
      <c r="AJ5" s="368">
        <v>10</v>
      </c>
      <c r="AK5" s="484" t="s">
        <v>254</v>
      </c>
      <c r="AL5" s="485">
        <v>11</v>
      </c>
      <c r="AM5" s="480">
        <v>8</v>
      </c>
      <c r="AN5" s="481">
        <v>8</v>
      </c>
      <c r="AO5" s="481">
        <v>9</v>
      </c>
      <c r="AP5" s="481">
        <v>10</v>
      </c>
      <c r="AQ5" s="366">
        <v>11</v>
      </c>
    </row>
    <row r="6" spans="4:43" ht="28.8" x14ac:dyDescent="0.3">
      <c r="D6" s="270" t="s">
        <v>101</v>
      </c>
      <c r="E6" s="486" t="s">
        <v>102</v>
      </c>
      <c r="F6" s="321" t="s">
        <v>102</v>
      </c>
      <c r="G6" s="487" t="s">
        <v>255</v>
      </c>
      <c r="H6" s="322" t="s">
        <v>102</v>
      </c>
      <c r="I6" s="488" t="s">
        <v>102</v>
      </c>
      <c r="J6" s="488" t="s">
        <v>102</v>
      </c>
      <c r="K6" s="324" t="s">
        <v>103</v>
      </c>
      <c r="L6" s="321" t="s">
        <v>103</v>
      </c>
      <c r="M6" s="325" t="s">
        <v>103</v>
      </c>
      <c r="N6" s="321" t="s">
        <v>103</v>
      </c>
      <c r="O6" s="326" t="s">
        <v>103</v>
      </c>
      <c r="P6" s="322" t="s">
        <v>104</v>
      </c>
      <c r="Q6" s="322" t="s">
        <v>104</v>
      </c>
      <c r="R6" s="488" t="s">
        <v>104</v>
      </c>
      <c r="S6" s="324" t="s">
        <v>104</v>
      </c>
      <c r="T6" s="322" t="s">
        <v>104</v>
      </c>
      <c r="U6" s="323" t="s">
        <v>104</v>
      </c>
      <c r="V6" s="322" t="s">
        <v>103</v>
      </c>
      <c r="W6" s="321" t="s">
        <v>103</v>
      </c>
      <c r="X6" s="325" t="s">
        <v>103</v>
      </c>
      <c r="Y6" s="321" t="s">
        <v>103</v>
      </c>
      <c r="Z6" s="488" t="s">
        <v>103</v>
      </c>
      <c r="AA6" s="324"/>
      <c r="AB6" s="489" t="s">
        <v>104</v>
      </c>
      <c r="AC6" s="489" t="s">
        <v>104</v>
      </c>
      <c r="AD6" s="489" t="s">
        <v>104</v>
      </c>
      <c r="AE6" s="490" t="s">
        <v>104</v>
      </c>
      <c r="AF6" s="322"/>
      <c r="AG6" s="489"/>
      <c r="AH6" s="489" t="s">
        <v>103</v>
      </c>
      <c r="AI6" s="491" t="s">
        <v>103</v>
      </c>
      <c r="AJ6" s="492" t="s">
        <v>103</v>
      </c>
      <c r="AK6" s="493" t="s">
        <v>102</v>
      </c>
      <c r="AL6" s="494" t="s">
        <v>103</v>
      </c>
      <c r="AM6" s="324" t="s">
        <v>104</v>
      </c>
      <c r="AN6" s="489" t="s">
        <v>104</v>
      </c>
      <c r="AO6" s="489" t="s">
        <v>104</v>
      </c>
      <c r="AP6" s="489" t="s">
        <v>104</v>
      </c>
      <c r="AQ6" s="45" t="s">
        <v>104</v>
      </c>
    </row>
    <row r="7" spans="4:43" x14ac:dyDescent="0.3">
      <c r="D7" s="344" t="s">
        <v>140</v>
      </c>
      <c r="E7" s="486" t="s">
        <v>75</v>
      </c>
      <c r="F7" s="321" t="s">
        <v>75</v>
      </c>
      <c r="G7" s="487" t="s">
        <v>75</v>
      </c>
      <c r="H7" s="322" t="s">
        <v>75</v>
      </c>
      <c r="I7" s="488" t="s">
        <v>75</v>
      </c>
      <c r="J7" s="488" t="s">
        <v>75</v>
      </c>
      <c r="K7" s="324" t="s">
        <v>75</v>
      </c>
      <c r="L7" s="321" t="s">
        <v>75</v>
      </c>
      <c r="M7" s="325" t="s">
        <v>75</v>
      </c>
      <c r="N7" s="321" t="s">
        <v>75</v>
      </c>
      <c r="O7" s="326" t="s">
        <v>75</v>
      </c>
      <c r="P7" s="322" t="s">
        <v>70</v>
      </c>
      <c r="Q7" s="322" t="s">
        <v>70</v>
      </c>
      <c r="R7" s="488" t="s">
        <v>70</v>
      </c>
      <c r="S7" s="324" t="s">
        <v>70</v>
      </c>
      <c r="T7" s="322" t="s">
        <v>70</v>
      </c>
      <c r="U7" s="323" t="s">
        <v>70</v>
      </c>
      <c r="V7" s="322" t="s">
        <v>75</v>
      </c>
      <c r="W7" s="321" t="s">
        <v>75</v>
      </c>
      <c r="X7" s="325" t="s">
        <v>75</v>
      </c>
      <c r="Y7" s="321" t="s">
        <v>75</v>
      </c>
      <c r="Z7" s="488" t="s">
        <v>75</v>
      </c>
      <c r="AA7" s="324"/>
      <c r="AB7" s="495" t="s">
        <v>70</v>
      </c>
      <c r="AC7" s="495" t="s">
        <v>70</v>
      </c>
      <c r="AD7" s="495" t="s">
        <v>70</v>
      </c>
      <c r="AE7" s="496" t="s">
        <v>70</v>
      </c>
      <c r="AF7" s="322"/>
      <c r="AG7" s="495"/>
      <c r="AH7" s="495" t="s">
        <v>74</v>
      </c>
      <c r="AI7" s="497" t="s">
        <v>75</v>
      </c>
      <c r="AJ7" s="369" t="s">
        <v>74</v>
      </c>
      <c r="AK7" s="498" t="s">
        <v>75</v>
      </c>
      <c r="AL7" s="499" t="s">
        <v>74</v>
      </c>
      <c r="AM7" s="324" t="s">
        <v>77</v>
      </c>
      <c r="AN7" s="495" t="s">
        <v>70</v>
      </c>
      <c r="AO7" s="495" t="s">
        <v>70</v>
      </c>
      <c r="AP7" s="495" t="s">
        <v>70</v>
      </c>
      <c r="AQ7" s="367" t="s">
        <v>70</v>
      </c>
    </row>
    <row r="8" spans="4:43" x14ac:dyDescent="0.3">
      <c r="D8" s="271" t="s">
        <v>146</v>
      </c>
      <c r="E8" s="330">
        <v>245</v>
      </c>
      <c r="F8" s="331">
        <v>273</v>
      </c>
      <c r="G8" s="331">
        <v>264</v>
      </c>
      <c r="H8" s="331">
        <v>289</v>
      </c>
      <c r="I8" s="331">
        <v>309</v>
      </c>
      <c r="J8" s="320">
        <v>328</v>
      </c>
      <c r="K8" s="276">
        <v>211</v>
      </c>
      <c r="L8" s="284">
        <v>236</v>
      </c>
      <c r="M8" s="347">
        <v>259</v>
      </c>
      <c r="N8" s="343">
        <v>282</v>
      </c>
      <c r="O8" s="348">
        <v>304</v>
      </c>
      <c r="P8" s="500">
        <v>159</v>
      </c>
      <c r="Q8" s="500">
        <v>177</v>
      </c>
      <c r="R8" s="320">
        <v>194</v>
      </c>
      <c r="S8" s="299">
        <v>159</v>
      </c>
      <c r="T8" s="500">
        <v>177</v>
      </c>
      <c r="U8" s="294">
        <v>194</v>
      </c>
      <c r="V8" s="501">
        <v>211</v>
      </c>
      <c r="W8" s="284">
        <v>236</v>
      </c>
      <c r="X8" s="347">
        <v>259</v>
      </c>
      <c r="Y8" s="343">
        <v>282</v>
      </c>
      <c r="Z8" s="347">
        <v>304</v>
      </c>
      <c r="AA8" s="324"/>
      <c r="AB8" s="500">
        <v>177</v>
      </c>
      <c r="AC8" s="500">
        <v>194</v>
      </c>
      <c r="AD8" s="500">
        <v>211</v>
      </c>
      <c r="AE8" s="359">
        <v>228</v>
      </c>
      <c r="AF8" s="322"/>
      <c r="AG8" s="500"/>
      <c r="AH8" s="500">
        <v>237</v>
      </c>
      <c r="AI8" s="502">
        <v>282</v>
      </c>
      <c r="AJ8" s="331">
        <v>260</v>
      </c>
      <c r="AK8" s="503">
        <v>345</v>
      </c>
      <c r="AL8" s="320">
        <v>276</v>
      </c>
      <c r="AM8" s="340">
        <v>159</v>
      </c>
      <c r="AN8" s="500">
        <v>177</v>
      </c>
      <c r="AO8" s="500">
        <v>194</v>
      </c>
      <c r="AP8" s="500">
        <v>211</v>
      </c>
      <c r="AQ8" s="294">
        <v>228</v>
      </c>
    </row>
    <row r="9" spans="4:43" x14ac:dyDescent="0.3">
      <c r="D9" s="271" t="s">
        <v>146</v>
      </c>
      <c r="E9" s="504">
        <v>244.8</v>
      </c>
      <c r="F9" s="289">
        <v>273.10000000000002</v>
      </c>
      <c r="G9" s="289">
        <v>263.3</v>
      </c>
      <c r="H9" s="289">
        <v>289.60000000000002</v>
      </c>
      <c r="I9" s="289">
        <v>309.3</v>
      </c>
      <c r="J9" s="505">
        <v>328.4</v>
      </c>
      <c r="K9" s="274">
        <v>211.4</v>
      </c>
      <c r="L9" s="273">
        <v>235.9</v>
      </c>
      <c r="M9" s="309">
        <v>258.89999999999998</v>
      </c>
      <c r="N9" s="296">
        <v>282</v>
      </c>
      <c r="O9" s="297">
        <v>303.89999999999998</v>
      </c>
      <c r="P9" s="506">
        <v>159</v>
      </c>
      <c r="Q9" s="507">
        <v>176.8</v>
      </c>
      <c r="R9" s="505">
        <v>193.9</v>
      </c>
      <c r="S9" s="288">
        <v>159</v>
      </c>
      <c r="T9" s="506">
        <v>176.8</v>
      </c>
      <c r="U9" s="290">
        <v>193.9</v>
      </c>
      <c r="V9" s="508">
        <v>211.4</v>
      </c>
      <c r="W9" s="273">
        <v>235.9</v>
      </c>
      <c r="X9" s="309">
        <v>258.89999999999998</v>
      </c>
      <c r="Y9" s="296">
        <v>282</v>
      </c>
      <c r="Z9" s="309">
        <v>303.89999999999998</v>
      </c>
      <c r="AA9" s="324"/>
      <c r="AB9" s="509">
        <v>176.8</v>
      </c>
      <c r="AC9" s="509">
        <v>193.9</v>
      </c>
      <c r="AD9" s="507">
        <v>211</v>
      </c>
      <c r="AE9" s="63">
        <v>227.9</v>
      </c>
      <c r="AF9" s="322"/>
      <c r="AG9" s="509"/>
      <c r="AH9" s="289">
        <v>236.9</v>
      </c>
      <c r="AI9" s="289">
        <v>282</v>
      </c>
      <c r="AJ9" s="289">
        <v>260.60000000000002</v>
      </c>
      <c r="AK9" s="510">
        <v>345.8</v>
      </c>
      <c r="AL9" s="511">
        <v>275.89999999999998</v>
      </c>
      <c r="AM9" s="340">
        <v>159.5</v>
      </c>
      <c r="AN9" s="291">
        <v>176.8</v>
      </c>
      <c r="AO9" s="291">
        <v>193.9</v>
      </c>
      <c r="AP9" s="289">
        <v>211</v>
      </c>
      <c r="AQ9" s="63">
        <v>227.9</v>
      </c>
    </row>
    <row r="10" spans="4:43" x14ac:dyDescent="0.3">
      <c r="D10" s="292" t="s">
        <v>147</v>
      </c>
      <c r="E10" s="512">
        <f>ROUND(E11,0)</f>
        <v>133</v>
      </c>
      <c r="F10" s="513">
        <f>ROUND(F11,0)</f>
        <v>144</v>
      </c>
      <c r="G10" s="513">
        <f t="shared" ref="G10:AQ10" si="0">ROUND(G11,0)</f>
        <v>144</v>
      </c>
      <c r="H10" s="513">
        <f t="shared" si="0"/>
        <v>156</v>
      </c>
      <c r="I10" s="513">
        <f t="shared" si="0"/>
        <v>166</v>
      </c>
      <c r="J10" s="514">
        <f t="shared" si="0"/>
        <v>177</v>
      </c>
      <c r="K10" s="512">
        <f t="shared" si="0"/>
        <v>115</v>
      </c>
      <c r="L10" s="513">
        <f t="shared" si="0"/>
        <v>128</v>
      </c>
      <c r="M10" s="513">
        <f t="shared" si="0"/>
        <v>140</v>
      </c>
      <c r="N10" s="513">
        <f t="shared" si="0"/>
        <v>150</v>
      </c>
      <c r="O10" s="329">
        <f t="shared" si="0"/>
        <v>159</v>
      </c>
      <c r="P10" s="515">
        <f t="shared" si="0"/>
        <v>87</v>
      </c>
      <c r="Q10" s="513">
        <f t="shared" si="0"/>
        <v>96</v>
      </c>
      <c r="R10" s="514">
        <f t="shared" si="0"/>
        <v>104</v>
      </c>
      <c r="S10" s="512">
        <f t="shared" si="0"/>
        <v>87</v>
      </c>
      <c r="T10" s="513">
        <f t="shared" si="0"/>
        <v>96</v>
      </c>
      <c r="U10" s="329">
        <f t="shared" si="0"/>
        <v>104</v>
      </c>
      <c r="V10" s="515">
        <f t="shared" si="0"/>
        <v>115</v>
      </c>
      <c r="W10" s="513">
        <f t="shared" si="0"/>
        <v>128</v>
      </c>
      <c r="X10" s="513">
        <f t="shared" si="0"/>
        <v>140</v>
      </c>
      <c r="Y10" s="513">
        <f t="shared" si="0"/>
        <v>150</v>
      </c>
      <c r="Z10" s="514">
        <f t="shared" si="0"/>
        <v>159</v>
      </c>
      <c r="AA10" s="512">
        <f t="shared" si="0"/>
        <v>0</v>
      </c>
      <c r="AB10" s="513">
        <f t="shared" si="0"/>
        <v>96</v>
      </c>
      <c r="AC10" s="513">
        <f t="shared" si="0"/>
        <v>104</v>
      </c>
      <c r="AD10" s="513">
        <f t="shared" si="0"/>
        <v>112</v>
      </c>
      <c r="AE10" s="329">
        <f t="shared" si="0"/>
        <v>120</v>
      </c>
      <c r="AF10" s="515">
        <f t="shared" si="0"/>
        <v>0</v>
      </c>
      <c r="AG10" s="513">
        <f t="shared" si="0"/>
        <v>0</v>
      </c>
      <c r="AH10" s="513">
        <f t="shared" si="0"/>
        <v>128</v>
      </c>
      <c r="AI10" s="513">
        <f t="shared" si="0"/>
        <v>150</v>
      </c>
      <c r="AJ10" s="513">
        <f t="shared" si="0"/>
        <v>137</v>
      </c>
      <c r="AK10" s="513">
        <f t="shared" si="0"/>
        <v>177</v>
      </c>
      <c r="AL10" s="514">
        <f t="shared" si="0"/>
        <v>145</v>
      </c>
      <c r="AM10" s="512">
        <f t="shared" si="0"/>
        <v>85</v>
      </c>
      <c r="AN10" s="513">
        <f t="shared" si="0"/>
        <v>96</v>
      </c>
      <c r="AO10" s="513">
        <f t="shared" si="0"/>
        <v>104</v>
      </c>
      <c r="AP10" s="513">
        <f t="shared" si="0"/>
        <v>112</v>
      </c>
      <c r="AQ10" s="329">
        <f t="shared" si="0"/>
        <v>120</v>
      </c>
    </row>
    <row r="11" spans="4:43" x14ac:dyDescent="0.3">
      <c r="D11" s="271" t="s">
        <v>147</v>
      </c>
      <c r="E11" s="504">
        <v>132.84000000000003</v>
      </c>
      <c r="F11" s="289">
        <v>144.08000000000001</v>
      </c>
      <c r="G11" s="289">
        <v>144.08000000000001</v>
      </c>
      <c r="H11" s="289">
        <v>155.80000000000001</v>
      </c>
      <c r="I11" s="289">
        <v>166.2</v>
      </c>
      <c r="J11" s="505">
        <v>176.88000000000002</v>
      </c>
      <c r="K11" s="274">
        <v>115</v>
      </c>
      <c r="L11" s="273">
        <v>128.4</v>
      </c>
      <c r="M11" s="309">
        <v>140</v>
      </c>
      <c r="N11" s="296">
        <v>150.30000000000001</v>
      </c>
      <c r="O11" s="297">
        <v>159.30000000000001</v>
      </c>
      <c r="P11" s="506">
        <v>86.8</v>
      </c>
      <c r="Q11" s="507">
        <v>95.6</v>
      </c>
      <c r="R11" s="505">
        <v>104.3</v>
      </c>
      <c r="S11" s="288">
        <v>86.8</v>
      </c>
      <c r="T11" s="506">
        <v>95.6</v>
      </c>
      <c r="U11" s="290">
        <v>104.3</v>
      </c>
      <c r="V11" s="516">
        <v>115</v>
      </c>
      <c r="W11" s="517">
        <v>128.4</v>
      </c>
      <c r="X11" s="309">
        <v>140</v>
      </c>
      <c r="Y11" s="296">
        <v>150.30000000000001</v>
      </c>
      <c r="Z11" s="309">
        <v>159.30000000000001</v>
      </c>
      <c r="AA11" s="324"/>
      <c r="AB11" s="506">
        <v>95.6</v>
      </c>
      <c r="AC11" s="507">
        <v>104.3</v>
      </c>
      <c r="AD11" s="505">
        <v>111.6</v>
      </c>
      <c r="AE11" s="290">
        <v>119.7</v>
      </c>
      <c r="AF11" s="322"/>
      <c r="AG11" s="506"/>
      <c r="AH11" s="289">
        <v>128.12</v>
      </c>
      <c r="AI11" s="289">
        <v>150.28</v>
      </c>
      <c r="AJ11" s="289">
        <v>137.28</v>
      </c>
      <c r="AK11" s="289">
        <v>176.8</v>
      </c>
      <c r="AL11" s="505">
        <v>144.96</v>
      </c>
      <c r="AM11" s="288">
        <v>85.16</v>
      </c>
      <c r="AN11" s="289">
        <v>95.64</v>
      </c>
      <c r="AO11" s="289">
        <v>104.28</v>
      </c>
      <c r="AP11" s="289">
        <v>111.55999999999999</v>
      </c>
      <c r="AQ11" s="290">
        <v>119.67999999999999</v>
      </c>
    </row>
    <row r="12" spans="4:43" x14ac:dyDescent="0.3">
      <c r="D12" s="271" t="s">
        <v>169</v>
      </c>
      <c r="E12" s="518">
        <v>2.02</v>
      </c>
      <c r="F12" s="291">
        <v>2.14</v>
      </c>
      <c r="G12" s="291">
        <v>2.14</v>
      </c>
      <c r="H12" s="291">
        <v>2.4700000000000002</v>
      </c>
      <c r="I12" s="291">
        <v>2.65</v>
      </c>
      <c r="J12" s="511">
        <v>2.81</v>
      </c>
      <c r="K12" s="282">
        <v>1.72</v>
      </c>
      <c r="L12" s="355">
        <v>1.93</v>
      </c>
      <c r="M12" s="311">
        <v>2.16</v>
      </c>
      <c r="N12" s="312">
        <v>2.4300000000000002</v>
      </c>
      <c r="O12" s="313">
        <v>2.71</v>
      </c>
      <c r="P12" s="519">
        <v>1.24</v>
      </c>
      <c r="Q12" s="511">
        <v>1.42</v>
      </c>
      <c r="R12" s="511">
        <v>1.59</v>
      </c>
      <c r="S12" s="518">
        <v>1.24</v>
      </c>
      <c r="T12" s="511">
        <v>1.42</v>
      </c>
      <c r="U12" s="63">
        <v>1.59</v>
      </c>
      <c r="V12" s="520">
        <v>1.72</v>
      </c>
      <c r="W12" s="355">
        <v>1.93</v>
      </c>
      <c r="X12" s="311">
        <v>2.16</v>
      </c>
      <c r="Y12" s="311">
        <v>2.4300000000000002</v>
      </c>
      <c r="Z12" s="311">
        <v>2.71</v>
      </c>
      <c r="AA12" s="486"/>
      <c r="AB12" s="511">
        <v>1.42</v>
      </c>
      <c r="AC12" s="511">
        <v>1.59</v>
      </c>
      <c r="AD12" s="511">
        <v>1.83</v>
      </c>
      <c r="AE12" s="63">
        <v>2.0099999999999998</v>
      </c>
      <c r="AF12" s="325"/>
      <c r="AG12" s="511"/>
      <c r="AH12" s="291">
        <v>1.95</v>
      </c>
      <c r="AI12" s="291">
        <v>2.4300000000000002</v>
      </c>
      <c r="AJ12" s="291">
        <v>2.2999999999999998</v>
      </c>
      <c r="AK12" s="521">
        <v>3.25</v>
      </c>
      <c r="AL12" s="511">
        <v>2.4300000000000002</v>
      </c>
      <c r="AM12" s="340">
        <v>1.3</v>
      </c>
      <c r="AN12" s="291">
        <v>1.42</v>
      </c>
      <c r="AO12" s="291">
        <v>1.59</v>
      </c>
      <c r="AP12" s="291">
        <v>1.83</v>
      </c>
      <c r="AQ12" s="63">
        <v>2.0099999999999998</v>
      </c>
    </row>
    <row r="13" spans="4:43" x14ac:dyDescent="0.3">
      <c r="D13" s="271" t="s">
        <v>170</v>
      </c>
      <c r="E13" s="518">
        <v>1.1100000000000001</v>
      </c>
      <c r="F13" s="291">
        <v>1.22</v>
      </c>
      <c r="G13" s="291">
        <v>1.22</v>
      </c>
      <c r="H13" s="291">
        <v>1.27</v>
      </c>
      <c r="I13" s="291">
        <v>1.35</v>
      </c>
      <c r="J13" s="511">
        <v>1.44</v>
      </c>
      <c r="K13" s="310">
        <v>0.97</v>
      </c>
      <c r="L13" s="355">
        <v>1.08</v>
      </c>
      <c r="M13" s="311">
        <v>1.1599999999999999</v>
      </c>
      <c r="N13" s="311">
        <v>1.21</v>
      </c>
      <c r="O13" s="358">
        <v>1.24</v>
      </c>
      <c r="P13" s="519">
        <v>0.75</v>
      </c>
      <c r="Q13" s="511">
        <v>0.81</v>
      </c>
      <c r="R13" s="511">
        <v>0.87</v>
      </c>
      <c r="S13" s="518">
        <v>0.75</v>
      </c>
      <c r="T13" s="511">
        <v>0.81</v>
      </c>
      <c r="U13" s="63">
        <v>0.87</v>
      </c>
      <c r="V13" s="520">
        <v>0.97</v>
      </c>
      <c r="W13" s="355">
        <v>1.08</v>
      </c>
      <c r="X13" s="311">
        <v>1.1599999999999999</v>
      </c>
      <c r="Y13" s="311">
        <v>1.21</v>
      </c>
      <c r="Z13" s="311">
        <v>1.24</v>
      </c>
      <c r="AA13" s="486"/>
      <c r="AB13" s="511">
        <v>0.81</v>
      </c>
      <c r="AC13" s="511">
        <v>0.87</v>
      </c>
      <c r="AD13" s="511">
        <v>0.89</v>
      </c>
      <c r="AE13" s="63">
        <v>0.94</v>
      </c>
      <c r="AF13" s="325"/>
      <c r="AG13" s="511"/>
      <c r="AH13" s="291">
        <v>1.07</v>
      </c>
      <c r="AI13" s="291">
        <v>1.21</v>
      </c>
      <c r="AJ13" s="291">
        <v>1.08</v>
      </c>
      <c r="AK13" s="521">
        <v>1.3</v>
      </c>
      <c r="AL13" s="511">
        <v>1.1399999999999999</v>
      </c>
      <c r="AM13" s="340">
        <v>0.71</v>
      </c>
      <c r="AN13" s="522">
        <v>0.81</v>
      </c>
      <c r="AO13" s="522">
        <v>0.87</v>
      </c>
      <c r="AP13" s="522">
        <v>0.89</v>
      </c>
      <c r="AQ13" s="63">
        <v>0.94</v>
      </c>
    </row>
    <row r="14" spans="4:43" x14ac:dyDescent="0.3">
      <c r="D14" s="271" t="s">
        <v>171</v>
      </c>
      <c r="E14" s="330">
        <v>154</v>
      </c>
      <c r="F14" s="331">
        <v>173.57142857142858</v>
      </c>
      <c r="G14" s="331">
        <v>188.57142857142858</v>
      </c>
      <c r="H14" s="331">
        <v>196.57142857142858</v>
      </c>
      <c r="I14" s="331">
        <v>207.42857142857142</v>
      </c>
      <c r="J14" s="502">
        <v>246.57142857142858</v>
      </c>
      <c r="K14" s="330">
        <v>154</v>
      </c>
      <c r="L14" s="331">
        <v>173.57142857142858</v>
      </c>
      <c r="M14" s="331">
        <v>196.57142857142858</v>
      </c>
      <c r="N14" s="331">
        <v>207.42857142857142</v>
      </c>
      <c r="O14" s="359">
        <v>246.57142857142858</v>
      </c>
      <c r="P14" s="502">
        <v>145.71428571428572</v>
      </c>
      <c r="Q14" s="331">
        <v>159.28571428571428</v>
      </c>
      <c r="R14" s="502">
        <v>183.57142857142858</v>
      </c>
      <c r="S14" s="330">
        <v>145.71428571428572</v>
      </c>
      <c r="T14" s="331">
        <v>144.28571428571428</v>
      </c>
      <c r="U14" s="359">
        <v>165.71428571428572</v>
      </c>
      <c r="V14" s="502">
        <v>154</v>
      </c>
      <c r="W14" s="331">
        <v>166.42857142857142</v>
      </c>
      <c r="X14" s="331">
        <v>185.14285714285714</v>
      </c>
      <c r="Y14" s="331">
        <v>198.14285714285714</v>
      </c>
      <c r="Z14" s="502">
        <v>242.28571428571428</v>
      </c>
      <c r="AA14" s="299"/>
      <c r="AB14" s="331">
        <v>147.14285714285714</v>
      </c>
      <c r="AC14" s="331">
        <v>158.14285714285714</v>
      </c>
      <c r="AD14" s="331">
        <v>196.42857142857142</v>
      </c>
      <c r="AE14" s="359">
        <v>223.57142857142858</v>
      </c>
      <c r="AF14" s="500"/>
      <c r="AG14" s="331"/>
      <c r="AH14" s="331">
        <v>175.71428571428572</v>
      </c>
      <c r="AI14" s="331">
        <v>198.14285714285714</v>
      </c>
      <c r="AJ14" s="331">
        <v>212.14285714285714</v>
      </c>
      <c r="AK14" s="331">
        <v>246.57142857142858</v>
      </c>
      <c r="AL14" s="320">
        <v>232.85714285714286</v>
      </c>
      <c r="AM14" s="330">
        <v>150.57142857142858</v>
      </c>
      <c r="AN14" s="331">
        <v>147.14285714285714</v>
      </c>
      <c r="AO14" s="331">
        <v>158.14285714285714</v>
      </c>
      <c r="AP14" s="331">
        <v>196.42857142857142</v>
      </c>
      <c r="AQ14" s="294">
        <v>223.57142857142858</v>
      </c>
    </row>
    <row r="15" spans="4:43" x14ac:dyDescent="0.3">
      <c r="D15" s="292" t="s">
        <v>172</v>
      </c>
      <c r="E15" s="341">
        <v>138.16</v>
      </c>
      <c r="F15" s="365">
        <v>156.6</v>
      </c>
      <c r="G15" s="365">
        <v>171.6</v>
      </c>
      <c r="H15" s="365">
        <v>175.64</v>
      </c>
      <c r="I15" s="365">
        <v>183.48000000000002</v>
      </c>
      <c r="J15" s="365">
        <v>212.44</v>
      </c>
      <c r="K15" s="341">
        <v>138.16</v>
      </c>
      <c r="L15" s="365">
        <v>156.6</v>
      </c>
      <c r="M15" s="365">
        <v>175.64</v>
      </c>
      <c r="N15" s="365">
        <v>183.48000000000002</v>
      </c>
      <c r="O15" s="328">
        <v>212.44</v>
      </c>
      <c r="P15" s="523">
        <v>134.4</v>
      </c>
      <c r="Q15" s="365">
        <v>144.19999999999999</v>
      </c>
      <c r="R15" s="365">
        <v>166.6</v>
      </c>
      <c r="S15" s="341">
        <v>134.4</v>
      </c>
      <c r="T15" s="365">
        <v>129.19999999999999</v>
      </c>
      <c r="U15" s="328">
        <v>147.80000000000001</v>
      </c>
      <c r="V15" s="523">
        <v>138.16</v>
      </c>
      <c r="W15" s="365">
        <v>150.4</v>
      </c>
      <c r="X15" s="365">
        <v>167.04</v>
      </c>
      <c r="Y15" s="365">
        <v>176.07999999999998</v>
      </c>
      <c r="Z15" s="365">
        <v>210.04</v>
      </c>
      <c r="AA15" s="341"/>
      <c r="AB15" s="365">
        <v>130.36000000000001</v>
      </c>
      <c r="AC15" s="365">
        <v>142.68</v>
      </c>
      <c r="AD15" s="365">
        <v>173.8</v>
      </c>
      <c r="AE15" s="328">
        <v>193.39999999999998</v>
      </c>
      <c r="AF15" s="523"/>
      <c r="AG15" s="365"/>
      <c r="AH15" s="327">
        <v>157.79999999999998</v>
      </c>
      <c r="AI15" s="327">
        <v>176.07999999999998</v>
      </c>
      <c r="AJ15" s="327">
        <v>184.8</v>
      </c>
      <c r="AK15" s="327">
        <v>212.44</v>
      </c>
      <c r="AL15" s="365">
        <v>200.8</v>
      </c>
      <c r="AM15" s="295">
        <v>134.92000000000002</v>
      </c>
      <c r="AN15" s="524">
        <v>130.36000000000001</v>
      </c>
      <c r="AO15" s="524">
        <v>142.68</v>
      </c>
      <c r="AP15" s="524">
        <v>173.8</v>
      </c>
      <c r="AQ15" s="328">
        <v>193.39999999999998</v>
      </c>
    </row>
    <row r="16" spans="4:43" x14ac:dyDescent="0.3">
      <c r="D16" s="271" t="s">
        <v>105</v>
      </c>
      <c r="E16" s="330">
        <v>202</v>
      </c>
      <c r="F16" s="320">
        <v>225</v>
      </c>
      <c r="G16" s="320">
        <v>240</v>
      </c>
      <c r="H16" s="320">
        <v>260</v>
      </c>
      <c r="I16" s="320">
        <v>280</v>
      </c>
      <c r="J16" s="320">
        <v>350</v>
      </c>
      <c r="K16" s="314">
        <v>202</v>
      </c>
      <c r="L16" s="285">
        <v>225</v>
      </c>
      <c r="M16" s="347">
        <v>260</v>
      </c>
      <c r="N16" s="347">
        <v>280</v>
      </c>
      <c r="O16" s="294">
        <v>350</v>
      </c>
      <c r="P16" s="502">
        <v>180</v>
      </c>
      <c r="Q16" s="320">
        <v>205</v>
      </c>
      <c r="R16" s="320">
        <v>235</v>
      </c>
      <c r="S16" s="330">
        <v>180</v>
      </c>
      <c r="T16" s="320">
        <v>190</v>
      </c>
      <c r="U16" s="294">
        <v>220</v>
      </c>
      <c r="V16" s="502">
        <v>202</v>
      </c>
      <c r="W16" s="320">
        <v>215</v>
      </c>
      <c r="X16" s="320">
        <v>240</v>
      </c>
      <c r="Y16" s="320">
        <v>265</v>
      </c>
      <c r="Z16" s="320">
        <v>340</v>
      </c>
      <c r="AA16" s="486"/>
      <c r="AB16" s="320">
        <v>198</v>
      </c>
      <c r="AC16" s="320">
        <v>205</v>
      </c>
      <c r="AD16" s="320">
        <v>265</v>
      </c>
      <c r="AE16" s="294">
        <v>315</v>
      </c>
      <c r="AF16" s="325"/>
      <c r="AG16" s="320"/>
      <c r="AH16" s="331">
        <v>230</v>
      </c>
      <c r="AI16" s="331">
        <v>265</v>
      </c>
      <c r="AJ16" s="331">
        <v>295</v>
      </c>
      <c r="AK16" s="503">
        <v>350</v>
      </c>
      <c r="AL16" s="320">
        <v>330</v>
      </c>
      <c r="AM16" s="340">
        <v>198</v>
      </c>
      <c r="AN16" s="331">
        <v>198</v>
      </c>
      <c r="AO16" s="331">
        <v>205</v>
      </c>
      <c r="AP16" s="331">
        <v>265</v>
      </c>
      <c r="AQ16" s="294">
        <v>315</v>
      </c>
    </row>
    <row r="17" spans="4:43" x14ac:dyDescent="0.3">
      <c r="D17" s="271" t="s">
        <v>106</v>
      </c>
      <c r="E17" s="330">
        <v>118</v>
      </c>
      <c r="F17" s="320">
        <v>135</v>
      </c>
      <c r="G17" s="320">
        <v>150</v>
      </c>
      <c r="H17" s="320">
        <v>149</v>
      </c>
      <c r="I17" s="320">
        <v>153</v>
      </c>
      <c r="J17" s="525">
        <v>169</v>
      </c>
      <c r="K17" s="373">
        <v>118</v>
      </c>
      <c r="L17" s="356">
        <v>135</v>
      </c>
      <c r="M17" s="332">
        <v>149</v>
      </c>
      <c r="N17" s="332">
        <v>153</v>
      </c>
      <c r="O17" s="294">
        <v>169</v>
      </c>
      <c r="P17" s="502">
        <v>120</v>
      </c>
      <c r="Q17" s="320">
        <v>125</v>
      </c>
      <c r="R17" s="320">
        <v>145</v>
      </c>
      <c r="S17" s="330">
        <v>120</v>
      </c>
      <c r="T17" s="320">
        <v>110</v>
      </c>
      <c r="U17" s="294">
        <v>125</v>
      </c>
      <c r="V17" s="526">
        <v>118</v>
      </c>
      <c r="W17" s="347">
        <v>130</v>
      </c>
      <c r="X17" s="347">
        <v>144</v>
      </c>
      <c r="Y17" s="347">
        <v>148</v>
      </c>
      <c r="Z17" s="320">
        <v>169</v>
      </c>
      <c r="AA17" s="486"/>
      <c r="AB17" s="320">
        <v>109</v>
      </c>
      <c r="AC17" s="320">
        <v>123</v>
      </c>
      <c r="AD17" s="320">
        <v>145</v>
      </c>
      <c r="AE17" s="294">
        <v>155</v>
      </c>
      <c r="AF17" s="325"/>
      <c r="AG17" s="320"/>
      <c r="AH17" s="331">
        <v>135</v>
      </c>
      <c r="AI17" s="331">
        <v>148</v>
      </c>
      <c r="AJ17" s="331">
        <v>150</v>
      </c>
      <c r="AK17" s="503">
        <v>169</v>
      </c>
      <c r="AL17" s="320">
        <v>160</v>
      </c>
      <c r="AM17" s="340">
        <v>115</v>
      </c>
      <c r="AN17" s="331">
        <v>109</v>
      </c>
      <c r="AO17" s="331">
        <v>123</v>
      </c>
      <c r="AP17" s="331">
        <v>145</v>
      </c>
      <c r="AQ17" s="294">
        <v>155</v>
      </c>
    </row>
    <row r="18" spans="4:43" x14ac:dyDescent="0.3">
      <c r="D18" s="292" t="s">
        <v>150</v>
      </c>
      <c r="E18" s="362">
        <v>0.14027777777777778</v>
      </c>
      <c r="F18" s="363">
        <v>0.15625</v>
      </c>
      <c r="G18" s="363">
        <v>0.16666666666666666</v>
      </c>
      <c r="H18" s="363">
        <v>0.18055555555555555</v>
      </c>
      <c r="I18" s="363">
        <v>0.19444444444444445</v>
      </c>
      <c r="J18" s="363">
        <v>0.24305555555555555</v>
      </c>
      <c r="K18" s="362">
        <v>0.14027777777777778</v>
      </c>
      <c r="L18" s="363">
        <v>0.15625</v>
      </c>
      <c r="M18" s="363">
        <v>0.18055555555555555</v>
      </c>
      <c r="N18" s="363">
        <v>0.19444444444444445</v>
      </c>
      <c r="O18" s="361">
        <v>0.24305555555555555</v>
      </c>
      <c r="P18" s="527">
        <v>0.125</v>
      </c>
      <c r="Q18" s="363">
        <v>0.1423611111111111</v>
      </c>
      <c r="R18" s="363">
        <v>0.16319444444444445</v>
      </c>
      <c r="S18" s="362">
        <v>0.125</v>
      </c>
      <c r="T18" s="363">
        <v>0.13194444444444445</v>
      </c>
      <c r="U18" s="361">
        <v>0.15277777777777779</v>
      </c>
      <c r="V18" s="527">
        <v>0.14027777777777778</v>
      </c>
      <c r="W18" s="363">
        <v>0.14930555555555555</v>
      </c>
      <c r="X18" s="363">
        <v>0.16666666666666666</v>
      </c>
      <c r="Y18" s="363">
        <v>0.18402777777777779</v>
      </c>
      <c r="Z18" s="363">
        <v>0.2361111111111111</v>
      </c>
      <c r="AA18" s="362"/>
      <c r="AB18" s="363">
        <v>0.13750000000000001</v>
      </c>
      <c r="AC18" s="363">
        <v>0.1423611111111111</v>
      </c>
      <c r="AD18" s="363">
        <v>0.18402777777777779</v>
      </c>
      <c r="AE18" s="361">
        <v>0.21875</v>
      </c>
      <c r="AF18" s="527"/>
      <c r="AG18" s="363"/>
      <c r="AH18" s="528">
        <v>0.15972222222222221</v>
      </c>
      <c r="AI18" s="528">
        <v>0.18402777777777779</v>
      </c>
      <c r="AJ18" s="528">
        <v>0.2048611111111111</v>
      </c>
      <c r="AK18" s="528">
        <v>0.24305555555555555</v>
      </c>
      <c r="AL18" s="363">
        <v>0.22916666666666666</v>
      </c>
      <c r="AM18" s="529">
        <v>0.13750000000000001</v>
      </c>
      <c r="AN18" s="528">
        <v>0.13750000000000001</v>
      </c>
      <c r="AO18" s="528">
        <v>0.1423611111111111</v>
      </c>
      <c r="AP18" s="528">
        <v>0.18402777777777779</v>
      </c>
      <c r="AQ18" s="361">
        <v>0.21875</v>
      </c>
    </row>
    <row r="19" spans="4:43" x14ac:dyDescent="0.3">
      <c r="D19" s="272" t="s">
        <v>141</v>
      </c>
      <c r="E19" s="315" t="s">
        <v>77</v>
      </c>
      <c r="F19" s="351" t="s">
        <v>77</v>
      </c>
      <c r="G19" s="351" t="s">
        <v>77</v>
      </c>
      <c r="H19" s="351" t="s">
        <v>77</v>
      </c>
      <c r="I19" s="319" t="s">
        <v>77</v>
      </c>
      <c r="J19" s="319" t="s">
        <v>77</v>
      </c>
      <c r="K19" s="315" t="s">
        <v>77</v>
      </c>
      <c r="L19" s="351" t="s">
        <v>77</v>
      </c>
      <c r="M19" s="351" t="s">
        <v>77</v>
      </c>
      <c r="N19" s="351" t="s">
        <v>77</v>
      </c>
      <c r="O19" s="287" t="s">
        <v>77</v>
      </c>
      <c r="P19" s="530" t="s">
        <v>62</v>
      </c>
      <c r="Q19" s="319" t="s">
        <v>62</v>
      </c>
      <c r="R19" s="319" t="s">
        <v>62</v>
      </c>
      <c r="S19" s="342" t="s">
        <v>62</v>
      </c>
      <c r="T19" s="319" t="s">
        <v>62</v>
      </c>
      <c r="U19" s="287" t="s">
        <v>62</v>
      </c>
      <c r="V19" s="531" t="s">
        <v>62</v>
      </c>
      <c r="W19" s="351" t="s">
        <v>62</v>
      </c>
      <c r="X19" s="351" t="s">
        <v>62</v>
      </c>
      <c r="Y19" s="351" t="s">
        <v>62</v>
      </c>
      <c r="Z19" s="351" t="s">
        <v>62</v>
      </c>
      <c r="AA19" s="486"/>
      <c r="AB19" s="320" t="s">
        <v>62</v>
      </c>
      <c r="AC19" s="320" t="s">
        <v>62</v>
      </c>
      <c r="AD19" s="320" t="s">
        <v>62</v>
      </c>
      <c r="AE19" s="294" t="s">
        <v>62</v>
      </c>
      <c r="AF19" s="325"/>
      <c r="AG19" s="320"/>
      <c r="AH19" s="331" t="s">
        <v>77</v>
      </c>
      <c r="AI19" s="331" t="s">
        <v>77</v>
      </c>
      <c r="AJ19" s="331" t="s">
        <v>77</v>
      </c>
      <c r="AK19" s="331" t="s">
        <v>77</v>
      </c>
      <c r="AL19" s="320" t="s">
        <v>77</v>
      </c>
      <c r="AM19" s="340" t="s">
        <v>62</v>
      </c>
      <c r="AN19" s="331" t="s">
        <v>62</v>
      </c>
      <c r="AO19" s="331" t="s">
        <v>62</v>
      </c>
      <c r="AP19" s="331" t="s">
        <v>62</v>
      </c>
      <c r="AQ19" s="294" t="s">
        <v>62</v>
      </c>
    </row>
    <row r="20" spans="4:43" x14ac:dyDescent="0.3">
      <c r="D20" s="345" t="s">
        <v>142</v>
      </c>
      <c r="E20" s="364" t="s">
        <v>70</v>
      </c>
      <c r="F20" s="293" t="s">
        <v>70</v>
      </c>
      <c r="G20" s="293" t="s">
        <v>70</v>
      </c>
      <c r="H20" s="293" t="s">
        <v>70</v>
      </c>
      <c r="I20" s="293" t="s">
        <v>70</v>
      </c>
      <c r="J20" s="293" t="s">
        <v>70</v>
      </c>
      <c r="K20" s="364" t="s">
        <v>70</v>
      </c>
      <c r="L20" s="293" t="s">
        <v>70</v>
      </c>
      <c r="M20" s="293" t="s">
        <v>70</v>
      </c>
      <c r="N20" s="293" t="s">
        <v>70</v>
      </c>
      <c r="O20" s="338" t="s">
        <v>70</v>
      </c>
      <c r="P20" s="532" t="s">
        <v>77</v>
      </c>
      <c r="Q20" s="533" t="s">
        <v>77</v>
      </c>
      <c r="R20" s="533" t="s">
        <v>77</v>
      </c>
      <c r="S20" s="534" t="s">
        <v>77</v>
      </c>
      <c r="T20" s="533" t="s">
        <v>77</v>
      </c>
      <c r="U20" s="535" t="s">
        <v>77</v>
      </c>
      <c r="V20" s="532" t="s">
        <v>77</v>
      </c>
      <c r="W20" s="533" t="s">
        <v>77</v>
      </c>
      <c r="X20" s="533" t="s">
        <v>77</v>
      </c>
      <c r="Y20" s="533" t="s">
        <v>77</v>
      </c>
      <c r="Z20" s="533" t="s">
        <v>77</v>
      </c>
      <c r="AA20" s="536"/>
      <c r="AB20" s="514" t="s">
        <v>77</v>
      </c>
      <c r="AC20" s="514" t="s">
        <v>77</v>
      </c>
      <c r="AD20" s="514" t="s">
        <v>77</v>
      </c>
      <c r="AE20" s="329" t="s">
        <v>77</v>
      </c>
      <c r="AF20" s="537"/>
      <c r="AG20" s="514"/>
      <c r="AH20" s="513" t="s">
        <v>77</v>
      </c>
      <c r="AI20" s="513" t="s">
        <v>77</v>
      </c>
      <c r="AJ20" s="513" t="s">
        <v>77</v>
      </c>
      <c r="AK20" s="513" t="s">
        <v>77</v>
      </c>
      <c r="AL20" s="514" t="s">
        <v>77</v>
      </c>
      <c r="AM20" s="538" t="s">
        <v>77</v>
      </c>
      <c r="AN20" s="513" t="s">
        <v>77</v>
      </c>
      <c r="AO20" s="513" t="s">
        <v>77</v>
      </c>
      <c r="AP20" s="513" t="s">
        <v>77</v>
      </c>
      <c r="AQ20" s="329" t="s">
        <v>77</v>
      </c>
    </row>
    <row r="21" spans="4:43" x14ac:dyDescent="0.3">
      <c r="D21" s="360" t="s">
        <v>107</v>
      </c>
      <c r="E21" s="341">
        <v>84</v>
      </c>
      <c r="F21" s="365">
        <v>84</v>
      </c>
      <c r="G21" s="365">
        <v>84</v>
      </c>
      <c r="H21" s="365">
        <v>84</v>
      </c>
      <c r="I21" s="365">
        <v>84</v>
      </c>
      <c r="J21" s="365">
        <v>84</v>
      </c>
      <c r="K21" s="341">
        <v>84</v>
      </c>
      <c r="L21" s="365">
        <v>84</v>
      </c>
      <c r="M21" s="365">
        <v>84</v>
      </c>
      <c r="N21" s="365">
        <v>84</v>
      </c>
      <c r="O21" s="328">
        <v>84</v>
      </c>
      <c r="P21" s="523">
        <v>91</v>
      </c>
      <c r="Q21" s="365">
        <v>91</v>
      </c>
      <c r="R21" s="365">
        <v>91</v>
      </c>
      <c r="S21" s="341">
        <v>91</v>
      </c>
      <c r="T21" s="365">
        <v>91</v>
      </c>
      <c r="U21" s="328">
        <v>91</v>
      </c>
      <c r="V21" s="523">
        <v>91</v>
      </c>
      <c r="W21" s="365">
        <v>91</v>
      </c>
      <c r="X21" s="365">
        <v>91</v>
      </c>
      <c r="Y21" s="365">
        <v>91</v>
      </c>
      <c r="Z21" s="365">
        <v>91</v>
      </c>
      <c r="AA21" s="341"/>
      <c r="AB21" s="365">
        <v>91</v>
      </c>
      <c r="AC21" s="365">
        <v>91</v>
      </c>
      <c r="AD21" s="365">
        <v>91</v>
      </c>
      <c r="AE21" s="328">
        <v>91</v>
      </c>
      <c r="AF21" s="523"/>
      <c r="AG21" s="365"/>
      <c r="AH21" s="327">
        <v>88</v>
      </c>
      <c r="AI21" s="327">
        <v>88</v>
      </c>
      <c r="AJ21" s="327">
        <v>88</v>
      </c>
      <c r="AK21" s="327">
        <v>88</v>
      </c>
      <c r="AL21" s="365">
        <v>88</v>
      </c>
      <c r="AM21" s="295">
        <v>91</v>
      </c>
      <c r="AN21" s="327">
        <v>91</v>
      </c>
      <c r="AO21" s="327">
        <v>91</v>
      </c>
      <c r="AP21" s="327">
        <v>91</v>
      </c>
      <c r="AQ21" s="328">
        <v>91</v>
      </c>
    </row>
    <row r="22" spans="4:43" x14ac:dyDescent="0.3">
      <c r="D22" s="272" t="s">
        <v>108</v>
      </c>
      <c r="E22" s="334">
        <v>84</v>
      </c>
      <c r="F22" s="335">
        <v>84</v>
      </c>
      <c r="G22" s="335">
        <v>84</v>
      </c>
      <c r="H22" s="335">
        <v>84</v>
      </c>
      <c r="I22" s="320">
        <v>84</v>
      </c>
      <c r="J22" s="320">
        <v>84</v>
      </c>
      <c r="K22" s="334">
        <v>84</v>
      </c>
      <c r="L22" s="335">
        <v>84</v>
      </c>
      <c r="M22" s="335">
        <v>84</v>
      </c>
      <c r="N22" s="335">
        <v>84</v>
      </c>
      <c r="O22" s="294">
        <v>84</v>
      </c>
      <c r="P22" s="502">
        <v>91</v>
      </c>
      <c r="Q22" s="320">
        <v>91</v>
      </c>
      <c r="R22" s="320">
        <v>91</v>
      </c>
      <c r="S22" s="330">
        <v>91</v>
      </c>
      <c r="T22" s="320">
        <v>91</v>
      </c>
      <c r="U22" s="294">
        <v>91</v>
      </c>
      <c r="V22" s="539">
        <v>91</v>
      </c>
      <c r="W22" s="540">
        <v>91</v>
      </c>
      <c r="X22" s="540">
        <v>91</v>
      </c>
      <c r="Y22" s="540">
        <v>91</v>
      </c>
      <c r="Z22" s="540">
        <v>91</v>
      </c>
      <c r="AA22" s="486"/>
      <c r="AB22" s="320">
        <v>91</v>
      </c>
      <c r="AC22" s="320">
        <v>91</v>
      </c>
      <c r="AD22" s="320">
        <v>91</v>
      </c>
      <c r="AE22" s="294">
        <v>91</v>
      </c>
      <c r="AF22" s="325"/>
      <c r="AG22" s="320"/>
      <c r="AH22" s="331">
        <v>88</v>
      </c>
      <c r="AI22" s="331">
        <v>88</v>
      </c>
      <c r="AJ22" s="331">
        <v>88</v>
      </c>
      <c r="AK22" s="331">
        <v>88</v>
      </c>
      <c r="AL22" s="320">
        <v>88</v>
      </c>
      <c r="AM22" s="340">
        <v>91</v>
      </c>
      <c r="AN22" s="331">
        <v>91</v>
      </c>
      <c r="AO22" s="331">
        <v>91</v>
      </c>
      <c r="AP22" s="331">
        <v>91</v>
      </c>
      <c r="AQ22" s="294">
        <v>91</v>
      </c>
    </row>
    <row r="23" spans="4:43" x14ac:dyDescent="0.3">
      <c r="D23" s="272" t="s">
        <v>109</v>
      </c>
      <c r="E23" s="334">
        <v>84</v>
      </c>
      <c r="F23" s="335">
        <v>84</v>
      </c>
      <c r="G23" s="335">
        <v>84</v>
      </c>
      <c r="H23" s="335">
        <v>84</v>
      </c>
      <c r="I23" s="320">
        <v>84</v>
      </c>
      <c r="J23" s="320">
        <v>84</v>
      </c>
      <c r="K23" s="334">
        <v>84</v>
      </c>
      <c r="L23" s="335">
        <v>84</v>
      </c>
      <c r="M23" s="335">
        <v>84</v>
      </c>
      <c r="N23" s="335">
        <v>84</v>
      </c>
      <c r="O23" s="294">
        <v>84</v>
      </c>
      <c r="P23" s="502">
        <v>91</v>
      </c>
      <c r="Q23" s="320">
        <v>91</v>
      </c>
      <c r="R23" s="320">
        <v>91</v>
      </c>
      <c r="S23" s="330">
        <v>91</v>
      </c>
      <c r="T23" s="320">
        <v>91</v>
      </c>
      <c r="U23" s="294">
        <v>91</v>
      </c>
      <c r="V23" s="539">
        <v>91</v>
      </c>
      <c r="W23" s="540">
        <v>91</v>
      </c>
      <c r="X23" s="540">
        <v>91</v>
      </c>
      <c r="Y23" s="540">
        <v>91</v>
      </c>
      <c r="Z23" s="540">
        <v>91</v>
      </c>
      <c r="AA23" s="486"/>
      <c r="AB23" s="320">
        <v>91</v>
      </c>
      <c r="AC23" s="320">
        <v>91</v>
      </c>
      <c r="AD23" s="320">
        <v>91</v>
      </c>
      <c r="AE23" s="294">
        <v>91</v>
      </c>
      <c r="AF23" s="325"/>
      <c r="AG23" s="320"/>
      <c r="AH23" s="331">
        <v>88</v>
      </c>
      <c r="AI23" s="331">
        <v>88</v>
      </c>
      <c r="AJ23" s="331">
        <v>88</v>
      </c>
      <c r="AK23" s="331">
        <v>88</v>
      </c>
      <c r="AL23" s="320">
        <v>88</v>
      </c>
      <c r="AM23" s="340">
        <v>91</v>
      </c>
      <c r="AN23" s="331">
        <v>91</v>
      </c>
      <c r="AO23" s="331">
        <v>91</v>
      </c>
      <c r="AP23" s="331">
        <v>91</v>
      </c>
      <c r="AQ23" s="294">
        <v>91</v>
      </c>
    </row>
    <row r="24" spans="4:43" x14ac:dyDescent="0.3">
      <c r="D24" s="292" t="s">
        <v>110</v>
      </c>
      <c r="E24" s="333">
        <v>67</v>
      </c>
      <c r="F24" s="352">
        <v>67</v>
      </c>
      <c r="G24" s="352">
        <v>67</v>
      </c>
      <c r="H24" s="352">
        <v>66</v>
      </c>
      <c r="I24" s="514">
        <v>66</v>
      </c>
      <c r="J24" s="541">
        <v>66</v>
      </c>
      <c r="K24" s="354">
        <v>67</v>
      </c>
      <c r="L24" s="352">
        <v>67</v>
      </c>
      <c r="M24" s="352">
        <v>66</v>
      </c>
      <c r="N24" s="352">
        <v>66</v>
      </c>
      <c r="O24" s="329">
        <v>66</v>
      </c>
      <c r="P24" s="542">
        <v>69</v>
      </c>
      <c r="Q24" s="352">
        <v>69</v>
      </c>
      <c r="R24" s="514">
        <v>69</v>
      </c>
      <c r="S24" s="543">
        <v>64</v>
      </c>
      <c r="T24" s="352">
        <v>64</v>
      </c>
      <c r="U24" s="329">
        <v>64</v>
      </c>
      <c r="V24" s="544">
        <v>66</v>
      </c>
      <c r="W24" s="352">
        <v>66</v>
      </c>
      <c r="X24" s="352">
        <v>66</v>
      </c>
      <c r="Y24" s="352">
        <v>66</v>
      </c>
      <c r="Z24" s="514">
        <v>66</v>
      </c>
      <c r="AA24" s="536"/>
      <c r="AB24" s="514">
        <v>64</v>
      </c>
      <c r="AC24" s="514">
        <v>64</v>
      </c>
      <c r="AD24" s="514">
        <v>64</v>
      </c>
      <c r="AE24" s="329">
        <v>64</v>
      </c>
      <c r="AF24" s="537"/>
      <c r="AG24" s="514"/>
      <c r="AH24" s="513">
        <v>66</v>
      </c>
      <c r="AI24" s="513">
        <v>66</v>
      </c>
      <c r="AJ24" s="513">
        <v>64</v>
      </c>
      <c r="AK24" s="513">
        <v>66</v>
      </c>
      <c r="AL24" s="514">
        <v>64</v>
      </c>
      <c r="AM24" s="538">
        <v>63</v>
      </c>
      <c r="AN24" s="513">
        <v>63</v>
      </c>
      <c r="AO24" s="513">
        <v>63</v>
      </c>
      <c r="AP24" s="513">
        <v>63</v>
      </c>
      <c r="AQ24" s="329">
        <v>63</v>
      </c>
    </row>
    <row r="25" spans="4:43" x14ac:dyDescent="0.3">
      <c r="D25" s="346" t="s">
        <v>143</v>
      </c>
      <c r="E25" s="333" t="s">
        <v>70</v>
      </c>
      <c r="F25" s="352" t="s">
        <v>70</v>
      </c>
      <c r="G25" s="352" t="s">
        <v>70</v>
      </c>
      <c r="H25" s="352" t="s">
        <v>70</v>
      </c>
      <c r="I25" s="352" t="s">
        <v>70</v>
      </c>
      <c r="J25" s="352" t="s">
        <v>70</v>
      </c>
      <c r="K25" s="333" t="s">
        <v>70</v>
      </c>
      <c r="L25" s="352" t="s">
        <v>70</v>
      </c>
      <c r="M25" s="352" t="s">
        <v>70</v>
      </c>
      <c r="N25" s="352" t="s">
        <v>70</v>
      </c>
      <c r="O25" s="353" t="s">
        <v>70</v>
      </c>
      <c r="P25" s="545" t="s">
        <v>74</v>
      </c>
      <c r="Q25" s="352" t="s">
        <v>74</v>
      </c>
      <c r="R25" s="352" t="s">
        <v>74</v>
      </c>
      <c r="S25" s="333" t="s">
        <v>77</v>
      </c>
      <c r="T25" s="352" t="s">
        <v>77</v>
      </c>
      <c r="U25" s="353" t="s">
        <v>77</v>
      </c>
      <c r="V25" s="545" t="s">
        <v>70</v>
      </c>
      <c r="W25" s="352" t="s">
        <v>70</v>
      </c>
      <c r="X25" s="352" t="s">
        <v>70</v>
      </c>
      <c r="Y25" s="352" t="s">
        <v>70</v>
      </c>
      <c r="Z25" s="352" t="s">
        <v>70</v>
      </c>
      <c r="AA25" s="536"/>
      <c r="AB25" s="514" t="s">
        <v>77</v>
      </c>
      <c r="AC25" s="514" t="s">
        <v>77</v>
      </c>
      <c r="AD25" s="514" t="s">
        <v>77</v>
      </c>
      <c r="AE25" s="329" t="s">
        <v>77</v>
      </c>
      <c r="AF25" s="537"/>
      <c r="AG25" s="514"/>
      <c r="AH25" s="513" t="s">
        <v>70</v>
      </c>
      <c r="AI25" s="513" t="s">
        <v>70</v>
      </c>
      <c r="AJ25" s="513" t="s">
        <v>77</v>
      </c>
      <c r="AK25" s="513" t="s">
        <v>70</v>
      </c>
      <c r="AL25" s="514" t="s">
        <v>77</v>
      </c>
      <c r="AM25" s="538" t="s">
        <v>77</v>
      </c>
      <c r="AN25" s="513" t="s">
        <v>77</v>
      </c>
      <c r="AO25" s="513" t="s">
        <v>77</v>
      </c>
      <c r="AP25" s="513" t="s">
        <v>77</v>
      </c>
      <c r="AQ25" s="329" t="s">
        <v>77</v>
      </c>
    </row>
    <row r="26" spans="4:43" x14ac:dyDescent="0.3">
      <c r="D26" s="271" t="s">
        <v>111</v>
      </c>
      <c r="E26" s="310">
        <v>0.5</v>
      </c>
      <c r="F26" s="281">
        <v>0.5</v>
      </c>
      <c r="G26" s="281">
        <v>0.5</v>
      </c>
      <c r="H26" s="281">
        <v>0.5</v>
      </c>
      <c r="I26" s="281">
        <v>0.5</v>
      </c>
      <c r="J26" s="281">
        <v>0.5</v>
      </c>
      <c r="K26" s="310">
        <v>0.5</v>
      </c>
      <c r="L26" s="281">
        <v>0.5</v>
      </c>
      <c r="M26" s="281">
        <v>0.5</v>
      </c>
      <c r="N26" s="281">
        <v>0.5</v>
      </c>
      <c r="O26" s="283">
        <v>0.5</v>
      </c>
      <c r="P26" s="520">
        <v>0.5</v>
      </c>
      <c r="Q26" s="281">
        <v>0.5</v>
      </c>
      <c r="R26" s="281">
        <v>0.5</v>
      </c>
      <c r="S26" s="310">
        <v>0.5</v>
      </c>
      <c r="T26" s="281">
        <v>0.5</v>
      </c>
      <c r="U26" s="283">
        <v>0.5</v>
      </c>
      <c r="V26" s="520">
        <v>0.5</v>
      </c>
      <c r="W26" s="281">
        <v>0.5</v>
      </c>
      <c r="X26" s="281">
        <v>0.5</v>
      </c>
      <c r="Y26" s="281">
        <v>0.5</v>
      </c>
      <c r="Z26" s="281">
        <v>0.5</v>
      </c>
      <c r="AA26" s="486"/>
      <c r="AB26" s="511">
        <v>0.5</v>
      </c>
      <c r="AC26" s="511">
        <v>0.5</v>
      </c>
      <c r="AD26" s="511">
        <v>0.5</v>
      </c>
      <c r="AE26" s="63">
        <v>0.5</v>
      </c>
      <c r="AF26" s="325"/>
      <c r="AG26" s="511"/>
      <c r="AH26" s="291">
        <v>0.5</v>
      </c>
      <c r="AI26" s="291">
        <v>0.5</v>
      </c>
      <c r="AJ26" s="291">
        <v>0.5</v>
      </c>
      <c r="AK26" s="521">
        <v>0.5</v>
      </c>
      <c r="AL26" s="511">
        <v>0.5</v>
      </c>
      <c r="AM26" s="302">
        <v>0.5</v>
      </c>
      <c r="AN26" s="291">
        <v>0.5</v>
      </c>
      <c r="AO26" s="291">
        <v>0.5</v>
      </c>
      <c r="AP26" s="291">
        <v>0.5</v>
      </c>
      <c r="AQ26" s="63">
        <v>0.5</v>
      </c>
    </row>
    <row r="27" spans="4:43" x14ac:dyDescent="0.3">
      <c r="D27" s="271" t="s">
        <v>112</v>
      </c>
      <c r="E27" s="310">
        <v>0.5</v>
      </c>
      <c r="F27" s="281">
        <v>0.5</v>
      </c>
      <c r="G27" s="281">
        <v>0.5</v>
      </c>
      <c r="H27" s="281">
        <v>0.5</v>
      </c>
      <c r="I27" s="281">
        <v>0.5</v>
      </c>
      <c r="J27" s="281">
        <v>0.5</v>
      </c>
      <c r="K27" s="310">
        <v>0.5</v>
      </c>
      <c r="L27" s="281">
        <v>0.5</v>
      </c>
      <c r="M27" s="281">
        <v>0.5</v>
      </c>
      <c r="N27" s="281">
        <v>0.5</v>
      </c>
      <c r="O27" s="283">
        <v>0.5</v>
      </c>
      <c r="P27" s="520">
        <v>0.5</v>
      </c>
      <c r="Q27" s="281">
        <v>0.5</v>
      </c>
      <c r="R27" s="281">
        <v>0.5</v>
      </c>
      <c r="S27" s="310">
        <v>0.5</v>
      </c>
      <c r="T27" s="281">
        <v>0.5</v>
      </c>
      <c r="U27" s="283">
        <v>0.5</v>
      </c>
      <c r="V27" s="520">
        <v>0.5</v>
      </c>
      <c r="W27" s="281">
        <v>0.5</v>
      </c>
      <c r="X27" s="281">
        <v>0.5</v>
      </c>
      <c r="Y27" s="281">
        <v>0.5</v>
      </c>
      <c r="Z27" s="281">
        <v>0.5</v>
      </c>
      <c r="AA27" s="324"/>
      <c r="AB27" s="519">
        <v>0.5</v>
      </c>
      <c r="AC27" s="291">
        <v>0.5</v>
      </c>
      <c r="AD27" s="519">
        <v>0.5</v>
      </c>
      <c r="AE27" s="63">
        <v>0.5</v>
      </c>
      <c r="AF27" s="322"/>
      <c r="AG27" s="519"/>
      <c r="AH27" s="291">
        <v>0.5</v>
      </c>
      <c r="AI27" s="291">
        <v>0.5</v>
      </c>
      <c r="AJ27" s="291">
        <v>0.5</v>
      </c>
      <c r="AK27" s="521">
        <v>0.5</v>
      </c>
      <c r="AL27" s="511">
        <v>0.5</v>
      </c>
      <c r="AM27" s="302">
        <v>0.5</v>
      </c>
      <c r="AN27" s="291">
        <v>0.5</v>
      </c>
      <c r="AO27" s="291">
        <v>0.5</v>
      </c>
      <c r="AP27" s="291">
        <v>0.5</v>
      </c>
      <c r="AQ27" s="63">
        <v>0.5</v>
      </c>
    </row>
    <row r="28" spans="4:43" x14ac:dyDescent="0.3">
      <c r="D28" s="271" t="s">
        <v>113</v>
      </c>
      <c r="E28" s="314">
        <v>5</v>
      </c>
      <c r="F28" s="279">
        <v>5</v>
      </c>
      <c r="G28" s="279">
        <v>5</v>
      </c>
      <c r="H28" s="279">
        <v>5</v>
      </c>
      <c r="I28" s="319">
        <v>5</v>
      </c>
      <c r="J28" s="319">
        <v>5</v>
      </c>
      <c r="K28" s="349">
        <v>5</v>
      </c>
      <c r="L28" s="277">
        <v>5</v>
      </c>
      <c r="M28" s="279">
        <v>5</v>
      </c>
      <c r="N28" s="279">
        <v>5</v>
      </c>
      <c r="O28" s="336">
        <v>5</v>
      </c>
      <c r="P28" s="530">
        <v>5</v>
      </c>
      <c r="Q28" s="319">
        <v>5</v>
      </c>
      <c r="R28" s="319">
        <v>5</v>
      </c>
      <c r="S28" s="342">
        <v>5</v>
      </c>
      <c r="T28" s="319">
        <v>5</v>
      </c>
      <c r="U28" s="287">
        <v>5</v>
      </c>
      <c r="V28" s="546">
        <v>5</v>
      </c>
      <c r="W28" s="279">
        <v>5</v>
      </c>
      <c r="X28" s="279">
        <v>5</v>
      </c>
      <c r="Y28" s="279">
        <v>5</v>
      </c>
      <c r="Z28" s="280">
        <v>5</v>
      </c>
      <c r="AA28" s="324"/>
      <c r="AB28" s="500">
        <v>5</v>
      </c>
      <c r="AC28" s="500">
        <v>5</v>
      </c>
      <c r="AD28" s="502">
        <v>5</v>
      </c>
      <c r="AE28" s="294">
        <v>5</v>
      </c>
      <c r="AF28" s="322"/>
      <c r="AG28" s="500"/>
      <c r="AH28" s="331">
        <v>5</v>
      </c>
      <c r="AI28" s="331">
        <v>5</v>
      </c>
      <c r="AJ28" s="331">
        <v>5</v>
      </c>
      <c r="AK28" s="331">
        <v>5</v>
      </c>
      <c r="AL28" s="320">
        <v>5</v>
      </c>
      <c r="AM28" s="340">
        <v>5</v>
      </c>
      <c r="AN28" s="331">
        <v>5</v>
      </c>
      <c r="AO28" s="331">
        <v>5</v>
      </c>
      <c r="AP28" s="331">
        <v>5</v>
      </c>
      <c r="AQ28" s="294">
        <v>5</v>
      </c>
    </row>
    <row r="29" spans="4:43" x14ac:dyDescent="0.3">
      <c r="D29" s="271" t="s">
        <v>114</v>
      </c>
      <c r="E29" s="547">
        <v>2.5249999999999999</v>
      </c>
      <c r="F29" s="300">
        <v>2.875</v>
      </c>
      <c r="G29" s="548">
        <v>2.98</v>
      </c>
      <c r="H29" s="300">
        <v>3.2</v>
      </c>
      <c r="I29" s="511">
        <v>3.8125</v>
      </c>
      <c r="J29" s="511">
        <v>4.1749999999999998</v>
      </c>
      <c r="K29" s="282">
        <v>2.15</v>
      </c>
      <c r="L29" s="300">
        <v>2.4125000000000001</v>
      </c>
      <c r="M29" s="357">
        <v>2.7</v>
      </c>
      <c r="N29" s="300">
        <v>3.0375000000000001</v>
      </c>
      <c r="O29" s="301">
        <v>3.3875000000000002</v>
      </c>
      <c r="P29" s="509">
        <v>1.5624</v>
      </c>
      <c r="Q29" s="509">
        <v>1.7891999999999999</v>
      </c>
      <c r="R29" s="511">
        <v>2.0034000000000001</v>
      </c>
      <c r="S29" s="518">
        <v>1.5624</v>
      </c>
      <c r="T29" s="291">
        <v>1.7891999999999999</v>
      </c>
      <c r="U29" s="63">
        <v>2.0034000000000001</v>
      </c>
      <c r="V29" s="520">
        <v>2.15</v>
      </c>
      <c r="W29" s="357">
        <v>2.4125000000000001</v>
      </c>
      <c r="X29" s="300">
        <v>2.7</v>
      </c>
      <c r="Y29" s="357">
        <v>3.0375000000000001</v>
      </c>
      <c r="Z29" s="357">
        <v>3.3875000000000002</v>
      </c>
      <c r="AA29" s="324"/>
      <c r="AB29" s="509">
        <v>1.7891999999999999</v>
      </c>
      <c r="AC29" s="509">
        <v>2.0034000000000001</v>
      </c>
      <c r="AD29" s="500" t="s">
        <v>256</v>
      </c>
      <c r="AE29" s="549" t="s">
        <v>256</v>
      </c>
      <c r="AF29" s="322"/>
      <c r="AG29" s="509"/>
      <c r="AH29" s="300">
        <v>2.4375</v>
      </c>
      <c r="AI29" s="300">
        <v>3.0375000000000001</v>
      </c>
      <c r="AJ29" s="300">
        <v>2.875</v>
      </c>
      <c r="AK29" s="300">
        <v>4.0625</v>
      </c>
      <c r="AL29" s="357">
        <v>3.0375000000000001</v>
      </c>
      <c r="AM29" s="550">
        <v>1.625</v>
      </c>
      <c r="AN29" s="300">
        <v>1.7749999999999999</v>
      </c>
      <c r="AO29" s="300">
        <v>1.9875</v>
      </c>
      <c r="AP29" s="300">
        <v>2.2875000000000001</v>
      </c>
      <c r="AQ29" s="551">
        <v>2.5124999999999997</v>
      </c>
    </row>
    <row r="30" spans="4:43" x14ac:dyDescent="0.3">
      <c r="D30" s="271" t="s">
        <v>115</v>
      </c>
      <c r="E30" s="552">
        <v>252.5</v>
      </c>
      <c r="F30" s="303">
        <v>281.25</v>
      </c>
      <c r="G30" s="553">
        <v>300</v>
      </c>
      <c r="H30" s="553">
        <v>325</v>
      </c>
      <c r="I30" s="320">
        <v>350</v>
      </c>
      <c r="J30" s="320">
        <v>437.5</v>
      </c>
      <c r="K30" s="276">
        <v>252.5</v>
      </c>
      <c r="L30" s="303">
        <v>281.25</v>
      </c>
      <c r="M30" s="303">
        <v>325</v>
      </c>
      <c r="N30" s="303">
        <v>350</v>
      </c>
      <c r="O30" s="304">
        <v>437.5</v>
      </c>
      <c r="P30" s="500">
        <v>228.6</v>
      </c>
      <c r="Q30" s="500">
        <v>260.35000000000002</v>
      </c>
      <c r="R30" s="320">
        <v>298.45</v>
      </c>
      <c r="S30" s="299">
        <v>228.6</v>
      </c>
      <c r="T30" s="500">
        <v>241.3</v>
      </c>
      <c r="U30" s="294">
        <v>279.39999999999998</v>
      </c>
      <c r="V30" s="554">
        <v>252.5</v>
      </c>
      <c r="W30" s="303">
        <v>268.75</v>
      </c>
      <c r="X30" s="303">
        <v>300</v>
      </c>
      <c r="Y30" s="555">
        <v>331.25</v>
      </c>
      <c r="Z30" s="555">
        <v>437.5</v>
      </c>
      <c r="AA30" s="324"/>
      <c r="AB30" s="500">
        <v>251.46</v>
      </c>
      <c r="AC30" s="500">
        <v>260.35000000000002</v>
      </c>
      <c r="AD30" s="500" t="s">
        <v>256</v>
      </c>
      <c r="AE30" s="359" t="s">
        <v>256</v>
      </c>
      <c r="AF30" s="322"/>
      <c r="AG30" s="500"/>
      <c r="AH30" s="303">
        <v>287.5</v>
      </c>
      <c r="AI30" s="303">
        <v>331.25</v>
      </c>
      <c r="AJ30" s="303">
        <v>368.75</v>
      </c>
      <c r="AK30" s="303">
        <v>437.5</v>
      </c>
      <c r="AL30" s="555">
        <v>412.5</v>
      </c>
      <c r="AM30" s="556">
        <v>247.5</v>
      </c>
      <c r="AN30" s="303">
        <v>247.5</v>
      </c>
      <c r="AO30" s="303">
        <v>256.25</v>
      </c>
      <c r="AP30" s="303">
        <v>331.25</v>
      </c>
      <c r="AQ30" s="557">
        <v>393.75</v>
      </c>
    </row>
    <row r="31" spans="4:43" x14ac:dyDescent="0.3">
      <c r="D31" s="271" t="s">
        <v>116</v>
      </c>
      <c r="E31" s="310">
        <v>2.2220000000000004</v>
      </c>
      <c r="F31" s="275">
        <v>2.5299999999999998</v>
      </c>
      <c r="G31" s="558">
        <v>2.7</v>
      </c>
      <c r="H31" s="558">
        <v>2.8160000000000003</v>
      </c>
      <c r="I31" s="511">
        <v>3.355</v>
      </c>
      <c r="J31" s="511">
        <v>3.6739999999999999</v>
      </c>
      <c r="K31" s="282">
        <v>1.8920000000000001</v>
      </c>
      <c r="L31" s="275">
        <v>2.1230000000000002</v>
      </c>
      <c r="M31" s="275">
        <v>2.3760000000000003</v>
      </c>
      <c r="N31" s="275">
        <v>2.6730000000000005</v>
      </c>
      <c r="O31" s="305">
        <v>2.9810000000000003</v>
      </c>
      <c r="P31" s="509">
        <v>1.3640000000000001</v>
      </c>
      <c r="Q31" s="509">
        <v>1.5620000000000001</v>
      </c>
      <c r="R31" s="511">
        <v>1.7490000000000003</v>
      </c>
      <c r="S31" s="302">
        <v>1.3640000000000001</v>
      </c>
      <c r="T31" s="509">
        <v>1.5620000000000001</v>
      </c>
      <c r="U31" s="63">
        <v>1.7490000000000003</v>
      </c>
      <c r="V31" s="520">
        <v>1.8920000000000001</v>
      </c>
      <c r="W31" s="275">
        <v>2.1230000000000002</v>
      </c>
      <c r="X31" s="275">
        <v>2.3760000000000003</v>
      </c>
      <c r="Y31" s="275">
        <v>2.6730000000000005</v>
      </c>
      <c r="Z31" s="281">
        <v>2.9810000000000003</v>
      </c>
      <c r="AA31" s="324"/>
      <c r="AB31" s="509">
        <v>1.5620000000000001</v>
      </c>
      <c r="AC31" s="509">
        <v>1.7490000000000003</v>
      </c>
      <c r="AD31" s="500" t="s">
        <v>256</v>
      </c>
      <c r="AE31" s="359" t="s">
        <v>256</v>
      </c>
      <c r="AF31" s="322"/>
      <c r="AG31" s="509"/>
      <c r="AH31" s="275">
        <v>2.145</v>
      </c>
      <c r="AI31" s="275">
        <v>2.6730000000000005</v>
      </c>
      <c r="AJ31" s="275">
        <v>2.5299999999999998</v>
      </c>
      <c r="AK31" s="275">
        <v>3.5750000000000002</v>
      </c>
      <c r="AL31" s="281">
        <v>2.6730000000000005</v>
      </c>
      <c r="AM31" s="282">
        <v>1.4300000000000002</v>
      </c>
      <c r="AN31" s="275">
        <v>1.5620000000000001</v>
      </c>
      <c r="AO31" s="275">
        <v>1.7490000000000003</v>
      </c>
      <c r="AP31" s="275">
        <v>2.0130000000000003</v>
      </c>
      <c r="AQ31" s="283">
        <v>2.2109999999999999</v>
      </c>
    </row>
    <row r="32" spans="4:43" x14ac:dyDescent="0.3">
      <c r="D32" s="271" t="s">
        <v>115</v>
      </c>
      <c r="E32" s="314">
        <v>222.20000000000002</v>
      </c>
      <c r="F32" s="277">
        <v>247.50000000000003</v>
      </c>
      <c r="G32" s="501">
        <v>265</v>
      </c>
      <c r="H32" s="501">
        <v>286</v>
      </c>
      <c r="I32" s="320">
        <v>308</v>
      </c>
      <c r="J32" s="320">
        <v>385.00000000000006</v>
      </c>
      <c r="K32" s="276">
        <v>222.20000000000002</v>
      </c>
      <c r="L32" s="277">
        <v>247.50000000000003</v>
      </c>
      <c r="M32" s="277">
        <v>286</v>
      </c>
      <c r="N32" s="277">
        <v>308</v>
      </c>
      <c r="O32" s="298">
        <v>385.00000000000006</v>
      </c>
      <c r="P32" s="500">
        <v>206.99999999999997</v>
      </c>
      <c r="Q32" s="500">
        <v>235.74999999999997</v>
      </c>
      <c r="R32" s="320">
        <v>270.25</v>
      </c>
      <c r="S32" s="299">
        <v>206.99999999999997</v>
      </c>
      <c r="T32" s="500">
        <v>218.49999999999997</v>
      </c>
      <c r="U32" s="294">
        <v>252.99999999999997</v>
      </c>
      <c r="V32" s="501">
        <v>222.20000000000002</v>
      </c>
      <c r="W32" s="277">
        <v>236.50000000000003</v>
      </c>
      <c r="X32" s="277">
        <v>264</v>
      </c>
      <c r="Y32" s="277">
        <v>291.5</v>
      </c>
      <c r="Z32" s="279">
        <v>385.00000000000006</v>
      </c>
      <c r="AA32" s="324"/>
      <c r="AB32" s="500">
        <v>227.7</v>
      </c>
      <c r="AC32" s="500">
        <v>235.74999999999997</v>
      </c>
      <c r="AD32" s="500" t="s">
        <v>256</v>
      </c>
      <c r="AE32" s="359" t="s">
        <v>256</v>
      </c>
      <c r="AF32" s="322"/>
      <c r="AG32" s="500"/>
      <c r="AH32" s="277">
        <v>253.00000000000003</v>
      </c>
      <c r="AI32" s="277">
        <v>291.5</v>
      </c>
      <c r="AJ32" s="277">
        <v>324.5</v>
      </c>
      <c r="AK32" s="277">
        <v>385.00000000000006</v>
      </c>
      <c r="AL32" s="279">
        <v>363.00000000000006</v>
      </c>
      <c r="AM32" s="276">
        <v>217.8</v>
      </c>
      <c r="AN32" s="277">
        <v>217.8</v>
      </c>
      <c r="AO32" s="277">
        <v>225.50000000000003</v>
      </c>
      <c r="AP32" s="277">
        <v>291.5</v>
      </c>
      <c r="AQ32" s="278">
        <v>346.5</v>
      </c>
    </row>
    <row r="33" spans="4:43" x14ac:dyDescent="0.3">
      <c r="D33" s="269" t="s">
        <v>117</v>
      </c>
      <c r="E33" s="310">
        <v>1.6160000000000001</v>
      </c>
      <c r="F33" s="275">
        <v>1.8399999999999999</v>
      </c>
      <c r="G33" s="558">
        <v>1.94</v>
      </c>
      <c r="H33" s="558">
        <v>2.048</v>
      </c>
      <c r="I33" s="511">
        <v>2.44</v>
      </c>
      <c r="J33" s="511">
        <v>2.6720000000000002</v>
      </c>
      <c r="K33" s="282">
        <v>1.3760000000000001</v>
      </c>
      <c r="L33" s="275">
        <v>1.544</v>
      </c>
      <c r="M33" s="275">
        <v>1.7280000000000002</v>
      </c>
      <c r="N33" s="275">
        <v>1.9440000000000002</v>
      </c>
      <c r="O33" s="305">
        <v>2.1680000000000001</v>
      </c>
      <c r="P33" s="509">
        <v>0.99199999999999999</v>
      </c>
      <c r="Q33" s="509">
        <v>1.1359999999999999</v>
      </c>
      <c r="R33" s="511">
        <v>1.2720000000000002</v>
      </c>
      <c r="S33" s="302">
        <v>0.99199999999999999</v>
      </c>
      <c r="T33" s="509">
        <v>1.1359999999999999</v>
      </c>
      <c r="U33" s="63">
        <v>1.2720000000000002</v>
      </c>
      <c r="V33" s="558">
        <v>1.3760000000000001</v>
      </c>
      <c r="W33" s="275">
        <v>1.544</v>
      </c>
      <c r="X33" s="275">
        <v>1.7280000000000002</v>
      </c>
      <c r="Y33" s="275">
        <v>1.9440000000000002</v>
      </c>
      <c r="Z33" s="281">
        <v>2.1680000000000001</v>
      </c>
      <c r="AA33" s="324"/>
      <c r="AB33" s="509">
        <v>1.1359999999999999</v>
      </c>
      <c r="AC33" s="509">
        <v>1.2720000000000002</v>
      </c>
      <c r="AD33" s="500" t="s">
        <v>256</v>
      </c>
      <c r="AE33" s="359" t="s">
        <v>256</v>
      </c>
      <c r="AF33" s="322"/>
      <c r="AG33" s="509"/>
      <c r="AH33" s="275">
        <v>1.56</v>
      </c>
      <c r="AI33" s="275">
        <v>1.9440000000000002</v>
      </c>
      <c r="AJ33" s="275">
        <v>1.8399999999999999</v>
      </c>
      <c r="AK33" s="275">
        <v>2.6</v>
      </c>
      <c r="AL33" s="281">
        <v>1.9440000000000002</v>
      </c>
      <c r="AM33" s="282">
        <v>1.04</v>
      </c>
      <c r="AN33" s="275">
        <v>1.1359999999999999</v>
      </c>
      <c r="AO33" s="275">
        <v>1.2720000000000002</v>
      </c>
      <c r="AP33" s="275">
        <v>1.4640000000000002</v>
      </c>
      <c r="AQ33" s="283">
        <v>1.6079999999999999</v>
      </c>
    </row>
    <row r="34" spans="4:43" ht="15" thickBot="1" x14ac:dyDescent="0.35">
      <c r="D34" s="271" t="s">
        <v>118</v>
      </c>
      <c r="E34" s="316">
        <v>161.60000000000002</v>
      </c>
      <c r="F34" s="306">
        <v>180</v>
      </c>
      <c r="G34" s="559">
        <v>198</v>
      </c>
      <c r="H34" s="559">
        <v>208</v>
      </c>
      <c r="I34" s="560">
        <v>224</v>
      </c>
      <c r="J34" s="560">
        <v>280</v>
      </c>
      <c r="K34" s="308">
        <v>161.60000000000002</v>
      </c>
      <c r="L34" s="306">
        <v>180</v>
      </c>
      <c r="M34" s="306">
        <v>208</v>
      </c>
      <c r="N34" s="306">
        <v>224</v>
      </c>
      <c r="O34" s="307">
        <v>280</v>
      </c>
      <c r="P34" s="561">
        <v>144</v>
      </c>
      <c r="Q34" s="562">
        <v>164</v>
      </c>
      <c r="R34" s="560">
        <v>188</v>
      </c>
      <c r="S34" s="563">
        <v>144</v>
      </c>
      <c r="T34" s="562">
        <v>152</v>
      </c>
      <c r="U34" s="564">
        <v>176</v>
      </c>
      <c r="V34" s="559">
        <v>161.60000000000002</v>
      </c>
      <c r="W34" s="306">
        <v>172</v>
      </c>
      <c r="X34" s="306">
        <v>192</v>
      </c>
      <c r="Y34" s="306">
        <v>212</v>
      </c>
      <c r="Z34" s="339">
        <v>280</v>
      </c>
      <c r="AA34" s="308"/>
      <c r="AB34" s="306">
        <v>158.4</v>
      </c>
      <c r="AC34" s="306">
        <v>164</v>
      </c>
      <c r="AD34" s="306" t="s">
        <v>256</v>
      </c>
      <c r="AE34" s="565" t="s">
        <v>256</v>
      </c>
      <c r="AF34" s="559"/>
      <c r="AG34" s="306"/>
      <c r="AH34" s="306">
        <v>184</v>
      </c>
      <c r="AI34" s="306">
        <v>212</v>
      </c>
      <c r="AJ34" s="306">
        <v>236</v>
      </c>
      <c r="AK34" s="306">
        <v>280</v>
      </c>
      <c r="AL34" s="339">
        <v>264</v>
      </c>
      <c r="AM34" s="308">
        <v>158.4</v>
      </c>
      <c r="AN34" s="306">
        <v>158.4</v>
      </c>
      <c r="AO34" s="306">
        <v>164</v>
      </c>
      <c r="AP34" s="306">
        <v>212</v>
      </c>
      <c r="AQ34" s="337">
        <v>252</v>
      </c>
    </row>
    <row r="35" spans="4:43" x14ac:dyDescent="0.3">
      <c r="D35" s="269"/>
      <c r="E35" s="88"/>
      <c r="F35" s="88"/>
      <c r="G35" s="88"/>
      <c r="H35" s="88"/>
      <c r="I35" s="7"/>
      <c r="J35" s="7"/>
      <c r="K35" s="88"/>
      <c r="L35" s="88"/>
      <c r="M35" s="88"/>
      <c r="N35" s="88"/>
      <c r="O35" s="88"/>
      <c r="P35" s="72"/>
      <c r="Q35" s="7"/>
      <c r="R35" s="7"/>
      <c r="S35" s="72"/>
      <c r="T35" s="7"/>
      <c r="U35" s="7"/>
      <c r="V35" s="88"/>
      <c r="W35" s="88"/>
      <c r="X35" s="88"/>
      <c r="Y35" s="88"/>
      <c r="Z35" s="88"/>
      <c r="AA35" s="88"/>
      <c r="AB35" s="88"/>
      <c r="AC35" s="88"/>
      <c r="AD35" s="88"/>
      <c r="AE35" s="72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  <c r="AQ35" s="88"/>
    </row>
    <row r="36" spans="4:43" x14ac:dyDescent="0.3">
      <c r="D36" s="269"/>
      <c r="E36" s="88"/>
      <c r="F36" s="88"/>
      <c r="G36" s="88"/>
      <c r="H36" s="88"/>
      <c r="I36" s="7"/>
      <c r="J36" s="7"/>
      <c r="K36" s="88"/>
      <c r="L36" s="88"/>
      <c r="M36" s="88"/>
      <c r="N36" s="88"/>
      <c r="O36" s="88"/>
      <c r="P36" s="72"/>
      <c r="Q36" s="7"/>
      <c r="R36" s="7"/>
      <c r="S36" s="72"/>
      <c r="T36" s="7"/>
      <c r="U36" s="7"/>
      <c r="V36" s="88"/>
      <c r="W36" s="88"/>
      <c r="X36" s="88"/>
      <c r="Y36" s="88"/>
      <c r="Z36" s="88"/>
      <c r="AA36" s="88"/>
      <c r="AB36" s="88"/>
      <c r="AC36" s="88"/>
      <c r="AD36" s="88"/>
      <c r="AE36" s="72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  <c r="AQ36" s="88"/>
    </row>
    <row r="37" spans="4:43" ht="18" x14ac:dyDescent="0.3">
      <c r="D37" s="566"/>
      <c r="E37" s="567"/>
      <c r="H37" s="86"/>
      <c r="I37" s="86" t="s">
        <v>257</v>
      </c>
      <c r="J37" s="86"/>
      <c r="K37" s="86"/>
      <c r="L37" s="86"/>
      <c r="M37" s="86"/>
    </row>
    <row r="38" spans="4:43" x14ac:dyDescent="0.3">
      <c r="D38" s="566"/>
      <c r="E38" s="88"/>
      <c r="H38" s="86"/>
      <c r="I38" s="86" t="s">
        <v>258</v>
      </c>
      <c r="J38" s="86"/>
      <c r="K38" s="86"/>
      <c r="L38" s="86"/>
      <c r="M38" s="86"/>
    </row>
    <row r="39" spans="4:43" x14ac:dyDescent="0.3">
      <c r="D39" s="566"/>
      <c r="E39" s="87"/>
      <c r="H39" s="86"/>
      <c r="I39" s="86" t="s">
        <v>259</v>
      </c>
      <c r="J39" s="86"/>
      <c r="K39" s="86"/>
      <c r="L39" s="86"/>
      <c r="M39" s="86"/>
    </row>
    <row r="40" spans="4:43" x14ac:dyDescent="0.3">
      <c r="D40" s="566"/>
      <c r="E40" s="87"/>
      <c r="H40" s="86"/>
      <c r="I40" s="86" t="s">
        <v>260</v>
      </c>
      <c r="J40" s="86"/>
      <c r="K40" s="86"/>
      <c r="L40" s="86"/>
      <c r="M40" s="86"/>
    </row>
    <row r="41" spans="4:43" x14ac:dyDescent="0.3">
      <c r="D41" s="86"/>
      <c r="E41" s="86"/>
      <c r="H41" s="86"/>
      <c r="I41" s="86"/>
      <c r="J41" s="86"/>
      <c r="K41" s="86"/>
      <c r="L41" s="86"/>
      <c r="M41" s="86"/>
    </row>
    <row r="42" spans="4:43" ht="15.6" x14ac:dyDescent="0.3">
      <c r="D42" s="566"/>
      <c r="E42" s="568"/>
      <c r="F42" s="568"/>
      <c r="G42" s="568"/>
      <c r="H42" s="568"/>
      <c r="I42" s="774"/>
      <c r="J42" s="774"/>
      <c r="K42" s="774"/>
      <c r="L42" s="774"/>
      <c r="M42" s="774"/>
    </row>
    <row r="43" spans="4:43" x14ac:dyDescent="0.3">
      <c r="D43" s="566"/>
      <c r="E43" s="851">
        <v>9</v>
      </c>
      <c r="F43" s="852"/>
      <c r="G43" s="851">
        <v>10</v>
      </c>
      <c r="H43" s="852"/>
      <c r="I43" s="853"/>
      <c r="J43" s="853"/>
      <c r="K43" s="853"/>
      <c r="L43" s="853"/>
      <c r="M43" s="853"/>
    </row>
    <row r="44" spans="4:43" ht="15" thickBot="1" x14ac:dyDescent="0.35">
      <c r="D44" s="226"/>
      <c r="E44" s="828" t="s">
        <v>144</v>
      </c>
      <c r="F44" s="828"/>
      <c r="G44" s="828"/>
      <c r="H44" s="828"/>
      <c r="I44" s="227"/>
      <c r="J44" s="227"/>
      <c r="K44" s="228"/>
      <c r="L44" s="228"/>
      <c r="M44" s="228"/>
    </row>
    <row r="45" spans="4:43" x14ac:dyDescent="0.3">
      <c r="D45" s="270" t="s">
        <v>100</v>
      </c>
      <c r="E45" s="370">
        <v>6</v>
      </c>
      <c r="F45" s="318">
        <v>7</v>
      </c>
      <c r="G45" s="370">
        <v>6</v>
      </c>
      <c r="H45" s="286">
        <v>7</v>
      </c>
      <c r="I45" s="229"/>
      <c r="J45" s="229"/>
      <c r="K45" s="229"/>
      <c r="L45" s="229"/>
      <c r="M45" s="229"/>
    </row>
    <row r="46" spans="4:43" x14ac:dyDescent="0.3">
      <c r="D46" s="270" t="s">
        <v>101</v>
      </c>
      <c r="E46" s="340" t="s">
        <v>102</v>
      </c>
      <c r="F46" s="393" t="s">
        <v>102</v>
      </c>
      <c r="G46" s="340" t="s">
        <v>103</v>
      </c>
      <c r="H46" s="379" t="s">
        <v>103</v>
      </c>
      <c r="I46" s="88"/>
      <c r="J46" s="88"/>
      <c r="K46" s="230"/>
      <c r="L46" s="88"/>
      <c r="M46" s="231"/>
    </row>
    <row r="47" spans="4:43" x14ac:dyDescent="0.3">
      <c r="D47" s="344" t="s">
        <v>140</v>
      </c>
      <c r="E47" s="376"/>
      <c r="F47" s="375" t="s">
        <v>76</v>
      </c>
      <c r="G47" s="376" t="s">
        <v>74</v>
      </c>
      <c r="H47" s="377" t="s">
        <v>75</v>
      </c>
      <c r="I47" s="232"/>
      <c r="J47" s="232"/>
      <c r="K47" s="233"/>
      <c r="L47" s="232"/>
      <c r="M47" s="234"/>
    </row>
    <row r="48" spans="4:43" x14ac:dyDescent="0.3">
      <c r="D48" s="271" t="s">
        <v>146</v>
      </c>
      <c r="E48" s="299"/>
      <c r="F48" s="320">
        <v>269</v>
      </c>
      <c r="G48" s="330">
        <v>186</v>
      </c>
      <c r="H48" s="294">
        <v>211</v>
      </c>
      <c r="I48" s="235"/>
      <c r="J48" s="235" t="s">
        <v>145</v>
      </c>
      <c r="K48" s="236"/>
      <c r="L48" s="235"/>
      <c r="M48" s="237"/>
    </row>
    <row r="49" spans="4:13" x14ac:dyDescent="0.3">
      <c r="D49" s="271" t="s">
        <v>146</v>
      </c>
      <c r="E49" s="274"/>
      <c r="F49" s="394">
        <v>268.8</v>
      </c>
      <c r="G49" s="350">
        <v>186.3</v>
      </c>
      <c r="H49" s="381">
        <v>210.5</v>
      </c>
      <c r="I49" s="235"/>
      <c r="J49" s="235"/>
      <c r="K49" s="236"/>
      <c r="L49" s="235"/>
      <c r="M49" s="237"/>
    </row>
    <row r="50" spans="4:13" x14ac:dyDescent="0.3">
      <c r="D50" s="292" t="s">
        <v>147</v>
      </c>
      <c r="E50" s="380"/>
      <c r="F50" s="395">
        <v>145</v>
      </c>
      <c r="G50" s="389">
        <v>100</v>
      </c>
      <c r="H50" s="384">
        <v>112</v>
      </c>
      <c r="I50" s="88"/>
      <c r="J50" s="88"/>
      <c r="K50" s="88"/>
      <c r="L50" s="88"/>
      <c r="M50" s="231"/>
    </row>
    <row r="51" spans="4:13" x14ac:dyDescent="0.3">
      <c r="D51" s="271" t="s">
        <v>147</v>
      </c>
      <c r="E51" s="378"/>
      <c r="F51" s="394">
        <v>145.19999999999999</v>
      </c>
      <c r="G51" s="350">
        <v>100</v>
      </c>
      <c r="H51" s="381">
        <v>111.6</v>
      </c>
      <c r="I51" s="88"/>
      <c r="J51" s="88"/>
      <c r="K51" s="230"/>
      <c r="L51" s="88"/>
      <c r="M51" s="231"/>
    </row>
    <row r="52" spans="4:13" x14ac:dyDescent="0.3">
      <c r="D52" s="271" t="s">
        <v>148</v>
      </c>
      <c r="E52" s="282"/>
      <c r="F52" s="281">
        <v>2.25</v>
      </c>
      <c r="G52" s="310">
        <v>1.54</v>
      </c>
      <c r="H52" s="283">
        <v>1.8</v>
      </c>
      <c r="I52" s="88"/>
      <c r="J52" s="88"/>
      <c r="K52" s="230"/>
      <c r="L52" s="88"/>
      <c r="M52" s="231"/>
    </row>
    <row r="53" spans="4:13" x14ac:dyDescent="0.3">
      <c r="D53" s="271" t="s">
        <v>149</v>
      </c>
      <c r="E53" s="378"/>
      <c r="F53" s="280">
        <v>1.2</v>
      </c>
      <c r="G53" s="349">
        <v>0.83</v>
      </c>
      <c r="H53" s="336">
        <v>0.9</v>
      </c>
      <c r="I53" s="238"/>
      <c r="J53" s="238"/>
      <c r="K53" s="87"/>
      <c r="L53" s="238"/>
      <c r="M53" s="239"/>
    </row>
    <row r="54" spans="4:13" x14ac:dyDescent="0.3">
      <c r="D54" s="271" t="s">
        <v>171</v>
      </c>
      <c r="E54" s="349"/>
      <c r="F54" s="320">
        <v>184.57142857142858</v>
      </c>
      <c r="G54" s="299">
        <v>155.71428571428572</v>
      </c>
      <c r="H54" s="294">
        <v>170</v>
      </c>
      <c r="I54" s="88"/>
      <c r="J54" s="88"/>
      <c r="K54" s="88"/>
      <c r="L54" s="88"/>
      <c r="M54" s="231"/>
    </row>
    <row r="55" spans="4:13" x14ac:dyDescent="0.3">
      <c r="D55" s="271" t="s">
        <v>172</v>
      </c>
      <c r="E55" s="314"/>
      <c r="F55" s="279">
        <v>164.96</v>
      </c>
      <c r="G55" s="314">
        <v>137.80000000000001</v>
      </c>
      <c r="H55" s="278">
        <v>150.19999999999999</v>
      </c>
      <c r="I55" s="88"/>
      <c r="J55" s="88"/>
      <c r="K55" s="88"/>
      <c r="L55" s="88"/>
      <c r="M55" s="231"/>
    </row>
    <row r="56" spans="4:13" x14ac:dyDescent="0.3">
      <c r="D56" s="271" t="s">
        <v>105</v>
      </c>
      <c r="E56" s="342"/>
      <c r="F56" s="319">
        <v>244</v>
      </c>
      <c r="G56" s="342">
        <v>210</v>
      </c>
      <c r="H56" s="287">
        <v>230</v>
      </c>
      <c r="I56" s="88"/>
      <c r="J56" s="88"/>
      <c r="K56" s="88"/>
      <c r="L56" s="88"/>
      <c r="M56" s="231"/>
    </row>
    <row r="57" spans="4:13" x14ac:dyDescent="0.3">
      <c r="D57" s="271" t="s">
        <v>106</v>
      </c>
      <c r="E57" s="342"/>
      <c r="F57" s="319">
        <v>140</v>
      </c>
      <c r="G57" s="342">
        <v>115</v>
      </c>
      <c r="H57" s="287">
        <v>125</v>
      </c>
      <c r="I57" s="88"/>
      <c r="J57" s="88"/>
      <c r="K57" s="230"/>
      <c r="L57" s="88"/>
      <c r="M57" s="231"/>
    </row>
    <row r="58" spans="4:13" x14ac:dyDescent="0.3">
      <c r="D58" s="292" t="s">
        <v>150</v>
      </c>
      <c r="E58" s="390"/>
      <c r="F58" s="392">
        <v>0.16944444444444445</v>
      </c>
      <c r="G58" s="396">
        <v>0.14583333333333334</v>
      </c>
      <c r="H58" s="361">
        <v>0.15972222222222221</v>
      </c>
      <c r="I58" s="235"/>
      <c r="J58" s="235"/>
      <c r="K58" s="235"/>
      <c r="L58" s="235"/>
      <c r="M58" s="235"/>
    </row>
    <row r="59" spans="4:13" x14ac:dyDescent="0.3">
      <c r="D59" s="272" t="s">
        <v>141</v>
      </c>
      <c r="E59" s="388"/>
      <c r="F59" s="386" t="s">
        <v>77</v>
      </c>
      <c r="G59" s="388" t="s">
        <v>77</v>
      </c>
      <c r="H59" s="383" t="s">
        <v>77</v>
      </c>
      <c r="I59" s="235"/>
      <c r="J59" s="235"/>
      <c r="K59" s="235"/>
      <c r="L59" s="235"/>
      <c r="M59" s="235"/>
    </row>
    <row r="60" spans="4:13" x14ac:dyDescent="0.3">
      <c r="D60" s="345" t="s">
        <v>142</v>
      </c>
      <c r="E60" s="391"/>
      <c r="F60" s="385" t="s">
        <v>70</v>
      </c>
      <c r="G60" s="391" t="s">
        <v>70</v>
      </c>
      <c r="H60" s="382" t="s">
        <v>70</v>
      </c>
      <c r="I60" s="238"/>
      <c r="J60" s="88"/>
      <c r="K60" s="88"/>
      <c r="L60" s="88"/>
      <c r="M60" s="238"/>
    </row>
    <row r="61" spans="4:13" x14ac:dyDescent="0.3">
      <c r="D61" s="360" t="s">
        <v>107</v>
      </c>
      <c r="E61" s="341"/>
      <c r="F61" s="365">
        <v>84</v>
      </c>
      <c r="G61" s="341">
        <v>84</v>
      </c>
      <c r="H61" s="328">
        <v>84</v>
      </c>
      <c r="I61" s="235"/>
      <c r="J61" s="240"/>
      <c r="K61" s="240"/>
      <c r="L61" s="240"/>
      <c r="M61" s="240"/>
    </row>
    <row r="62" spans="4:13" x14ac:dyDescent="0.3">
      <c r="D62" s="272" t="s">
        <v>108</v>
      </c>
      <c r="E62" s="314"/>
      <c r="F62" s="279">
        <v>84</v>
      </c>
      <c r="G62" s="314">
        <v>84</v>
      </c>
      <c r="H62" s="278">
        <v>84</v>
      </c>
      <c r="I62" s="88"/>
      <c r="J62" s="241"/>
      <c r="K62" s="241"/>
      <c r="L62" s="241"/>
      <c r="M62" s="241"/>
    </row>
    <row r="63" spans="4:13" x14ac:dyDescent="0.3">
      <c r="D63" s="272" t="s">
        <v>109</v>
      </c>
      <c r="E63" s="314"/>
      <c r="F63" s="279">
        <v>84</v>
      </c>
      <c r="G63" s="314">
        <v>84</v>
      </c>
      <c r="H63" s="278">
        <v>84</v>
      </c>
      <c r="I63" s="235"/>
      <c r="J63" s="235"/>
      <c r="K63" s="235"/>
      <c r="L63" s="235"/>
      <c r="M63" s="235"/>
    </row>
    <row r="64" spans="4:13" x14ac:dyDescent="0.3">
      <c r="D64" s="292" t="s">
        <v>110</v>
      </c>
      <c r="E64" s="341"/>
      <c r="F64" s="365">
        <v>67</v>
      </c>
      <c r="G64" s="341">
        <v>67</v>
      </c>
      <c r="H64" s="328">
        <v>67</v>
      </c>
      <c r="I64" s="88"/>
      <c r="J64" s="88"/>
      <c r="K64" s="88"/>
      <c r="L64" s="88"/>
      <c r="M64" s="88"/>
    </row>
    <row r="65" spans="4:13" x14ac:dyDescent="0.3">
      <c r="D65" s="346" t="s">
        <v>143</v>
      </c>
      <c r="E65" s="314"/>
      <c r="F65" s="279" t="s">
        <v>70</v>
      </c>
      <c r="G65" s="314" t="s">
        <v>70</v>
      </c>
      <c r="H65" s="278" t="s">
        <v>70</v>
      </c>
      <c r="I65" s="235"/>
      <c r="J65" s="235"/>
      <c r="K65" s="235"/>
      <c r="L65" s="235"/>
      <c r="M65" s="235"/>
    </row>
    <row r="66" spans="4:13" x14ac:dyDescent="0.3">
      <c r="D66" s="271" t="s">
        <v>111</v>
      </c>
      <c r="E66" s="310"/>
      <c r="F66" s="281">
        <v>0.5</v>
      </c>
      <c r="G66" s="310">
        <v>0.5</v>
      </c>
      <c r="H66" s="283">
        <v>0.5</v>
      </c>
      <c r="I66" s="88"/>
      <c r="J66" s="88"/>
      <c r="K66" s="88"/>
      <c r="L66" s="88"/>
      <c r="M66" s="88"/>
    </row>
    <row r="67" spans="4:13" x14ac:dyDescent="0.3">
      <c r="D67" s="271" t="s">
        <v>112</v>
      </c>
      <c r="E67" s="310"/>
      <c r="F67" s="281">
        <v>0.5</v>
      </c>
      <c r="G67" s="310">
        <v>0.5</v>
      </c>
      <c r="H67" s="283">
        <v>0.5</v>
      </c>
    </row>
    <row r="68" spans="4:13" x14ac:dyDescent="0.3">
      <c r="D68" s="271" t="s">
        <v>113</v>
      </c>
      <c r="E68" s="314"/>
      <c r="F68" s="279">
        <v>5</v>
      </c>
      <c r="G68" s="314">
        <v>5</v>
      </c>
      <c r="H68" s="278">
        <v>5</v>
      </c>
    </row>
    <row r="69" spans="4:13" x14ac:dyDescent="0.3">
      <c r="D69" s="271" t="s">
        <v>114</v>
      </c>
      <c r="E69" s="310"/>
      <c r="F69" s="281">
        <v>2.835</v>
      </c>
      <c r="G69" s="310">
        <v>1.9404000000000001</v>
      </c>
      <c r="H69" s="283">
        <v>2.2680000000000002</v>
      </c>
    </row>
    <row r="70" spans="4:13" x14ac:dyDescent="0.3">
      <c r="D70" s="271" t="s">
        <v>115</v>
      </c>
      <c r="E70" s="314"/>
      <c r="F70" s="279">
        <v>302.56</v>
      </c>
      <c r="G70" s="314">
        <v>266.7</v>
      </c>
      <c r="H70" s="278">
        <v>292.10000000000002</v>
      </c>
    </row>
    <row r="71" spans="4:13" x14ac:dyDescent="0.3">
      <c r="D71" s="271" t="s">
        <v>116</v>
      </c>
      <c r="E71" s="310"/>
      <c r="F71" s="281">
        <v>2.6324999999999998</v>
      </c>
      <c r="G71" s="310">
        <v>1.6940000000000002</v>
      </c>
      <c r="H71" s="283">
        <v>1.9800000000000002</v>
      </c>
    </row>
    <row r="72" spans="4:13" x14ac:dyDescent="0.3">
      <c r="D72" s="271" t="s">
        <v>115</v>
      </c>
      <c r="E72" s="314"/>
      <c r="F72" s="279">
        <v>278.15999999999997</v>
      </c>
      <c r="G72" s="314">
        <v>241.49999999999997</v>
      </c>
      <c r="H72" s="278">
        <v>264.5</v>
      </c>
    </row>
    <row r="73" spans="4:13" x14ac:dyDescent="0.3">
      <c r="D73" s="387" t="s">
        <v>117</v>
      </c>
      <c r="E73" s="310"/>
      <c r="F73" s="281">
        <v>1.8</v>
      </c>
      <c r="G73" s="310">
        <v>1.2320000000000002</v>
      </c>
      <c r="H73" s="283">
        <v>1.4400000000000002</v>
      </c>
    </row>
    <row r="74" spans="4:13" ht="15" thickBot="1" x14ac:dyDescent="0.35">
      <c r="D74" s="271" t="s">
        <v>118</v>
      </c>
      <c r="E74" s="316"/>
      <c r="F74" s="339">
        <v>195.20000000000002</v>
      </c>
      <c r="G74" s="316">
        <v>168</v>
      </c>
      <c r="H74" s="337">
        <v>184</v>
      </c>
    </row>
    <row r="76" spans="4:13" ht="15" thickBot="1" x14ac:dyDescent="0.35">
      <c r="E76" s="841">
        <v>11</v>
      </c>
      <c r="F76" s="842"/>
      <c r="G76" s="842"/>
      <c r="H76" s="842"/>
      <c r="I76" s="843"/>
    </row>
    <row r="77" spans="4:13" ht="15" thickBot="1" x14ac:dyDescent="0.35">
      <c r="E77" s="829" t="s">
        <v>173</v>
      </c>
      <c r="F77" s="830"/>
      <c r="G77" s="830"/>
      <c r="H77" s="830"/>
      <c r="I77" s="831"/>
    </row>
    <row r="78" spans="4:13" x14ac:dyDescent="0.3">
      <c r="D78" s="270" t="s">
        <v>100</v>
      </c>
      <c r="E78" s="370">
        <v>6</v>
      </c>
      <c r="F78" s="317">
        <v>7</v>
      </c>
      <c r="G78" s="318">
        <v>8</v>
      </c>
      <c r="H78" s="371">
        <v>9</v>
      </c>
      <c r="I78" s="372">
        <v>10</v>
      </c>
    </row>
    <row r="79" spans="4:13" x14ac:dyDescent="0.3">
      <c r="D79" s="270" t="s">
        <v>101</v>
      </c>
      <c r="E79" s="324" t="s">
        <v>77</v>
      </c>
      <c r="F79" s="321" t="s">
        <v>77</v>
      </c>
      <c r="G79" s="325" t="s">
        <v>77</v>
      </c>
      <c r="H79" s="321" t="s">
        <v>77</v>
      </c>
      <c r="I79" s="326" t="s">
        <v>77</v>
      </c>
    </row>
    <row r="80" spans="4:13" x14ac:dyDescent="0.3">
      <c r="D80" s="344" t="s">
        <v>140</v>
      </c>
      <c r="E80" s="324" t="s">
        <v>84</v>
      </c>
      <c r="F80" s="321" t="s">
        <v>84</v>
      </c>
      <c r="G80" s="325" t="s">
        <v>84</v>
      </c>
      <c r="H80" s="321" t="s">
        <v>84</v>
      </c>
      <c r="I80" s="326" t="s">
        <v>84</v>
      </c>
    </row>
    <row r="81" spans="4:9" x14ac:dyDescent="0.3">
      <c r="D81" s="271" t="s">
        <v>146</v>
      </c>
      <c r="E81" s="276">
        <v>445</v>
      </c>
      <c r="F81" s="284">
        <v>503.7</v>
      </c>
      <c r="G81" s="347">
        <v>561</v>
      </c>
      <c r="H81" s="343">
        <v>616</v>
      </c>
      <c r="I81" s="348">
        <v>671</v>
      </c>
    </row>
    <row r="82" spans="4:9" x14ac:dyDescent="0.3">
      <c r="D82" s="271" t="s">
        <v>146</v>
      </c>
      <c r="E82" s="274">
        <v>445.3</v>
      </c>
      <c r="F82" s="273">
        <v>504.1</v>
      </c>
      <c r="G82" s="309">
        <v>561.20000000000005</v>
      </c>
      <c r="H82" s="296">
        <v>616</v>
      </c>
      <c r="I82" s="297">
        <v>670.9</v>
      </c>
    </row>
    <row r="83" spans="4:9" x14ac:dyDescent="0.3">
      <c r="D83" s="292" t="s">
        <v>147</v>
      </c>
      <c r="E83" s="295">
        <v>244</v>
      </c>
      <c r="F83" s="327">
        <v>276</v>
      </c>
      <c r="G83" s="327">
        <v>307</v>
      </c>
      <c r="H83" s="327">
        <v>337</v>
      </c>
      <c r="I83" s="328">
        <v>366</v>
      </c>
    </row>
    <row r="84" spans="4:9" x14ac:dyDescent="0.3">
      <c r="D84" s="271" t="s">
        <v>147</v>
      </c>
      <c r="E84" s="288">
        <v>244.36</v>
      </c>
      <c r="F84" s="289">
        <v>276.36</v>
      </c>
      <c r="G84" s="289">
        <v>307.36</v>
      </c>
      <c r="H84" s="289">
        <v>337.11999999999995</v>
      </c>
      <c r="I84" s="290">
        <v>365.55999999999995</v>
      </c>
    </row>
    <row r="85" spans="4:9" x14ac:dyDescent="0.3">
      <c r="D85" s="271" t="s">
        <v>169</v>
      </c>
      <c r="E85" s="282">
        <v>3.69</v>
      </c>
      <c r="F85" s="355">
        <v>4.2</v>
      </c>
      <c r="G85" s="311">
        <v>4.7</v>
      </c>
      <c r="H85" s="312">
        <v>5.18</v>
      </c>
      <c r="I85" s="313">
        <v>5.7</v>
      </c>
    </row>
    <row r="86" spans="4:9" x14ac:dyDescent="0.3">
      <c r="D86" s="271" t="s">
        <v>170</v>
      </c>
      <c r="E86" s="310">
        <v>2.0499999999999998</v>
      </c>
      <c r="F86" s="355">
        <v>2.31</v>
      </c>
      <c r="G86" s="311">
        <v>2.56</v>
      </c>
      <c r="H86" s="311">
        <v>2.8</v>
      </c>
      <c r="I86" s="358">
        <v>3.01</v>
      </c>
    </row>
    <row r="87" spans="4:9" x14ac:dyDescent="0.3">
      <c r="D87" s="271" t="s">
        <v>171</v>
      </c>
      <c r="E87" s="330">
        <v>105</v>
      </c>
      <c r="F87" s="331">
        <v>114.85714285714286</v>
      </c>
      <c r="G87" s="331">
        <v>125.57142857142857</v>
      </c>
      <c r="H87" s="331">
        <v>138</v>
      </c>
      <c r="I87" s="359">
        <v>147.28571428571428</v>
      </c>
    </row>
    <row r="88" spans="4:9" x14ac:dyDescent="0.3">
      <c r="D88" s="271" t="s">
        <v>172</v>
      </c>
      <c r="E88" s="276">
        <v>95.76</v>
      </c>
      <c r="F88" s="277">
        <v>103.92</v>
      </c>
      <c r="G88" s="277">
        <v>112.56</v>
      </c>
      <c r="H88" s="277">
        <v>122.16</v>
      </c>
      <c r="I88" s="278">
        <v>130.88</v>
      </c>
    </row>
    <row r="89" spans="4:9" x14ac:dyDescent="0.3">
      <c r="D89" s="271" t="s">
        <v>105</v>
      </c>
      <c r="E89" s="314">
        <v>133</v>
      </c>
      <c r="F89" s="285">
        <v>148</v>
      </c>
      <c r="G89" s="347">
        <v>165</v>
      </c>
      <c r="H89" s="347">
        <v>186</v>
      </c>
      <c r="I89" s="294">
        <v>197</v>
      </c>
    </row>
    <row r="90" spans="4:9" x14ac:dyDescent="0.3">
      <c r="D90" s="271" t="s">
        <v>106</v>
      </c>
      <c r="E90" s="373">
        <v>84</v>
      </c>
      <c r="F90" s="356">
        <v>90</v>
      </c>
      <c r="G90" s="332">
        <v>96</v>
      </c>
      <c r="H90" s="332">
        <v>102</v>
      </c>
      <c r="I90" s="294">
        <v>110</v>
      </c>
    </row>
    <row r="91" spans="4:9" x14ac:dyDescent="0.3">
      <c r="D91" s="292" t="s">
        <v>150</v>
      </c>
      <c r="E91" s="362">
        <v>9.2361111111111116E-2</v>
      </c>
      <c r="F91" s="363">
        <v>0.10277777777777777</v>
      </c>
      <c r="G91" s="363">
        <v>0.11458333333333333</v>
      </c>
      <c r="H91" s="363">
        <v>0.12916666666666668</v>
      </c>
      <c r="I91" s="361">
        <v>0.13680555555555557</v>
      </c>
    </row>
    <row r="92" spans="4:9" x14ac:dyDescent="0.3">
      <c r="D92" s="272" t="s">
        <v>141</v>
      </c>
      <c r="E92" s="315" t="s">
        <v>70</v>
      </c>
      <c r="F92" s="351" t="s">
        <v>70</v>
      </c>
      <c r="G92" s="351" t="s">
        <v>70</v>
      </c>
      <c r="H92" s="351" t="s">
        <v>70</v>
      </c>
      <c r="I92" s="287" t="s">
        <v>70</v>
      </c>
    </row>
    <row r="93" spans="4:9" x14ac:dyDescent="0.3">
      <c r="D93" s="345" t="s">
        <v>142</v>
      </c>
      <c r="E93" s="364" t="s">
        <v>74</v>
      </c>
      <c r="F93" s="293" t="s">
        <v>74</v>
      </c>
      <c r="G93" s="293" t="s">
        <v>74</v>
      </c>
      <c r="H93" s="293" t="s">
        <v>74</v>
      </c>
      <c r="I93" s="338" t="s">
        <v>74</v>
      </c>
    </row>
    <row r="94" spans="4:9" x14ac:dyDescent="0.3">
      <c r="D94" s="360" t="s">
        <v>107</v>
      </c>
      <c r="E94" s="341">
        <v>71</v>
      </c>
      <c r="F94" s="365">
        <v>71</v>
      </c>
      <c r="G94" s="365">
        <v>71</v>
      </c>
      <c r="H94" s="365">
        <v>71</v>
      </c>
      <c r="I94" s="328">
        <v>71</v>
      </c>
    </row>
    <row r="95" spans="4:9" x14ac:dyDescent="0.3">
      <c r="D95" s="272" t="s">
        <v>108</v>
      </c>
      <c r="E95" s="334">
        <v>71</v>
      </c>
      <c r="F95" s="335">
        <v>71</v>
      </c>
      <c r="G95" s="335">
        <v>71</v>
      </c>
      <c r="H95" s="335">
        <v>71</v>
      </c>
      <c r="I95" s="294">
        <v>71</v>
      </c>
    </row>
    <row r="96" spans="4:9" x14ac:dyDescent="0.3">
      <c r="D96" s="272" t="s">
        <v>109</v>
      </c>
      <c r="E96" s="334">
        <v>71</v>
      </c>
      <c r="F96" s="335">
        <v>71</v>
      </c>
      <c r="G96" s="335">
        <v>71</v>
      </c>
      <c r="H96" s="335">
        <v>71</v>
      </c>
      <c r="I96" s="294">
        <v>71</v>
      </c>
    </row>
    <row r="97" spans="4:14" x14ac:dyDescent="0.3">
      <c r="D97" s="292" t="s">
        <v>110</v>
      </c>
      <c r="E97" s="354">
        <v>70</v>
      </c>
      <c r="F97" s="352">
        <v>69</v>
      </c>
      <c r="G97" s="352">
        <v>69</v>
      </c>
      <c r="H97" s="352">
        <v>68</v>
      </c>
      <c r="I97" s="329">
        <v>68</v>
      </c>
    </row>
    <row r="98" spans="4:14" x14ac:dyDescent="0.3">
      <c r="D98" s="346" t="s">
        <v>143</v>
      </c>
      <c r="E98" s="333" t="s">
        <v>74</v>
      </c>
      <c r="F98" s="352" t="s">
        <v>74</v>
      </c>
      <c r="G98" s="352" t="s">
        <v>74</v>
      </c>
      <c r="H98" s="352" t="s">
        <v>70</v>
      </c>
      <c r="I98" s="353" t="s">
        <v>70</v>
      </c>
    </row>
    <row r="99" spans="4:14" x14ac:dyDescent="0.3">
      <c r="D99" s="271" t="s">
        <v>111</v>
      </c>
      <c r="E99" s="310">
        <v>0.5</v>
      </c>
      <c r="F99" s="281">
        <v>0.5</v>
      </c>
      <c r="G99" s="281">
        <v>0.5</v>
      </c>
      <c r="H99" s="281">
        <v>0.5</v>
      </c>
      <c r="I99" s="283">
        <v>0.5</v>
      </c>
    </row>
    <row r="100" spans="4:14" x14ac:dyDescent="0.3">
      <c r="D100" s="271" t="s">
        <v>112</v>
      </c>
      <c r="E100" s="310">
        <v>0.5</v>
      </c>
      <c r="F100" s="281">
        <v>0.5</v>
      </c>
      <c r="G100" s="281">
        <v>0.5</v>
      </c>
      <c r="H100" s="281">
        <v>0.5</v>
      </c>
      <c r="I100" s="283">
        <v>0.5</v>
      </c>
    </row>
    <row r="101" spans="4:14" x14ac:dyDescent="0.3">
      <c r="D101" s="271" t="s">
        <v>113</v>
      </c>
      <c r="E101" s="349">
        <v>5</v>
      </c>
      <c r="F101" s="277">
        <v>5</v>
      </c>
      <c r="G101" s="279">
        <v>5</v>
      </c>
      <c r="H101" s="279">
        <v>5</v>
      </c>
      <c r="I101" s="336">
        <v>5</v>
      </c>
    </row>
    <row r="102" spans="4:14" x14ac:dyDescent="0.3">
      <c r="D102" s="271" t="s">
        <v>114</v>
      </c>
      <c r="E102" s="282">
        <v>4.6124999999999998</v>
      </c>
      <c r="F102" s="300">
        <v>5.25</v>
      </c>
      <c r="G102" s="357">
        <v>5.875</v>
      </c>
      <c r="H102" s="300">
        <v>6.4749999999999996</v>
      </c>
      <c r="I102" s="301">
        <v>7.125</v>
      </c>
    </row>
    <row r="103" spans="4:14" x14ac:dyDescent="0.3">
      <c r="D103" s="271" t="s">
        <v>115</v>
      </c>
      <c r="E103" s="276">
        <v>166.25</v>
      </c>
      <c r="F103" s="303">
        <v>185</v>
      </c>
      <c r="G103" s="303">
        <v>206.25</v>
      </c>
      <c r="H103" s="303">
        <v>232.5</v>
      </c>
      <c r="I103" s="304">
        <v>246.25</v>
      </c>
    </row>
    <row r="104" spans="4:14" x14ac:dyDescent="0.3">
      <c r="D104" s="271" t="s">
        <v>116</v>
      </c>
      <c r="E104" s="282">
        <v>4.0590000000000002</v>
      </c>
      <c r="F104" s="275">
        <v>4.620000000000001</v>
      </c>
      <c r="G104" s="275">
        <v>5.1700000000000008</v>
      </c>
      <c r="H104" s="275">
        <v>5.6980000000000004</v>
      </c>
      <c r="I104" s="305">
        <v>6.2700000000000005</v>
      </c>
    </row>
    <row r="105" spans="4:14" x14ac:dyDescent="0.3">
      <c r="D105" s="271" t="s">
        <v>115</v>
      </c>
      <c r="E105" s="276">
        <v>146.30000000000001</v>
      </c>
      <c r="F105" s="277">
        <v>162.80000000000001</v>
      </c>
      <c r="G105" s="277">
        <v>181.50000000000003</v>
      </c>
      <c r="H105" s="277">
        <v>204.60000000000002</v>
      </c>
      <c r="I105" s="298">
        <v>216.70000000000002</v>
      </c>
    </row>
    <row r="106" spans="4:14" x14ac:dyDescent="0.3">
      <c r="D106" s="269" t="s">
        <v>117</v>
      </c>
      <c r="E106" s="282">
        <v>2.952</v>
      </c>
      <c r="F106" s="275">
        <v>3.3600000000000003</v>
      </c>
      <c r="G106" s="275">
        <v>3.7600000000000002</v>
      </c>
      <c r="H106" s="275">
        <v>4.1440000000000001</v>
      </c>
      <c r="I106" s="305">
        <v>4.5600000000000005</v>
      </c>
    </row>
    <row r="107" spans="4:14" ht="15" thickBot="1" x14ac:dyDescent="0.35">
      <c r="D107" s="271" t="s">
        <v>118</v>
      </c>
      <c r="E107" s="308">
        <v>106.4</v>
      </c>
      <c r="F107" s="306">
        <v>118.4</v>
      </c>
      <c r="G107" s="306">
        <v>132</v>
      </c>
      <c r="H107" s="306">
        <v>148.80000000000001</v>
      </c>
      <c r="I107" s="307">
        <v>157.60000000000002</v>
      </c>
    </row>
    <row r="111" spans="4:14" ht="15" thickBot="1" x14ac:dyDescent="0.35">
      <c r="E111" s="841">
        <v>12</v>
      </c>
      <c r="F111" s="842"/>
      <c r="G111" s="842"/>
      <c r="H111" s="842"/>
      <c r="I111" s="843"/>
      <c r="J111" s="841">
        <v>13</v>
      </c>
      <c r="K111" s="842"/>
      <c r="L111" s="842"/>
      <c r="M111" s="842"/>
      <c r="N111" s="843"/>
    </row>
    <row r="112" spans="4:14" ht="15" thickBot="1" x14ac:dyDescent="0.35">
      <c r="D112" s="86"/>
      <c r="E112" s="825" t="s">
        <v>174</v>
      </c>
      <c r="F112" s="826"/>
      <c r="G112" s="826"/>
      <c r="H112" s="826"/>
      <c r="I112" s="827"/>
      <c r="J112" s="825" t="s">
        <v>175</v>
      </c>
      <c r="K112" s="826"/>
      <c r="L112" s="826"/>
      <c r="M112" s="826"/>
      <c r="N112" s="827"/>
    </row>
    <row r="113" spans="4:14" x14ac:dyDescent="0.3">
      <c r="D113" s="270" t="s">
        <v>100</v>
      </c>
      <c r="E113" s="370">
        <v>6</v>
      </c>
      <c r="F113" s="317">
        <v>7</v>
      </c>
      <c r="G113" s="318">
        <v>8</v>
      </c>
      <c r="H113" s="371">
        <v>9</v>
      </c>
      <c r="I113" s="372">
        <v>10</v>
      </c>
      <c r="J113" s="370">
        <v>6</v>
      </c>
      <c r="K113" s="317">
        <v>7</v>
      </c>
      <c r="L113" s="318">
        <v>8</v>
      </c>
      <c r="M113" s="371">
        <v>9</v>
      </c>
      <c r="N113" s="372">
        <v>10</v>
      </c>
    </row>
    <row r="114" spans="4:14" x14ac:dyDescent="0.3">
      <c r="D114" s="270" t="s">
        <v>101</v>
      </c>
      <c r="E114" s="324" t="s">
        <v>70</v>
      </c>
      <c r="F114" s="321" t="s">
        <v>70</v>
      </c>
      <c r="G114" s="325" t="s">
        <v>70</v>
      </c>
      <c r="H114" s="321" t="s">
        <v>70</v>
      </c>
      <c r="I114" s="326" t="s">
        <v>70</v>
      </c>
      <c r="J114" s="324" t="s">
        <v>70</v>
      </c>
      <c r="K114" s="321" t="s">
        <v>70</v>
      </c>
      <c r="L114" s="325" t="s">
        <v>70</v>
      </c>
      <c r="M114" s="321" t="s">
        <v>70</v>
      </c>
      <c r="N114" s="326" t="s">
        <v>70</v>
      </c>
    </row>
    <row r="115" spans="4:14" x14ac:dyDescent="0.3">
      <c r="D115" s="344" t="s">
        <v>140</v>
      </c>
      <c r="E115" s="324" t="s">
        <v>84</v>
      </c>
      <c r="F115" s="321" t="s">
        <v>84</v>
      </c>
      <c r="G115" s="325" t="s">
        <v>84</v>
      </c>
      <c r="H115" s="321" t="s">
        <v>84</v>
      </c>
      <c r="I115" s="326" t="s">
        <v>84</v>
      </c>
      <c r="J115" s="324" t="s">
        <v>84</v>
      </c>
      <c r="K115" s="321" t="s">
        <v>84</v>
      </c>
      <c r="L115" s="325" t="s">
        <v>84</v>
      </c>
      <c r="M115" s="321" t="s">
        <v>84</v>
      </c>
      <c r="N115" s="326" t="s">
        <v>84</v>
      </c>
    </row>
    <row r="116" spans="4:14" x14ac:dyDescent="0.3">
      <c r="D116" s="271" t="s">
        <v>146</v>
      </c>
      <c r="E116" s="276">
        <v>460</v>
      </c>
      <c r="F116" s="284">
        <v>522</v>
      </c>
      <c r="G116" s="347">
        <v>582</v>
      </c>
      <c r="H116" s="343">
        <v>640</v>
      </c>
      <c r="I116" s="348">
        <v>695</v>
      </c>
      <c r="J116" s="276">
        <v>458</v>
      </c>
      <c r="K116" s="284">
        <v>519</v>
      </c>
      <c r="L116" s="347">
        <v>578</v>
      </c>
      <c r="M116" s="343">
        <v>636.20000000000005</v>
      </c>
      <c r="N116" s="348">
        <v>691</v>
      </c>
    </row>
    <row r="117" spans="4:14" x14ac:dyDescent="0.3">
      <c r="D117" s="271" t="s">
        <v>146</v>
      </c>
      <c r="E117" s="274">
        <v>460.2</v>
      </c>
      <c r="F117" s="273">
        <v>521.9</v>
      </c>
      <c r="G117" s="309">
        <v>581.6</v>
      </c>
      <c r="H117" s="296">
        <v>639.6</v>
      </c>
      <c r="I117" s="297">
        <v>695.4</v>
      </c>
      <c r="J117" s="274">
        <v>457.9</v>
      </c>
      <c r="K117" s="273">
        <v>518.9</v>
      </c>
      <c r="L117" s="309">
        <v>578.29999999999995</v>
      </c>
      <c r="M117" s="296">
        <v>636.20000000000005</v>
      </c>
      <c r="N117" s="297">
        <v>691.5</v>
      </c>
    </row>
    <row r="118" spans="4:14" x14ac:dyDescent="0.3">
      <c r="D118" s="292" t="s">
        <v>147</v>
      </c>
      <c r="E118" s="295">
        <v>253.08</v>
      </c>
      <c r="F118" s="327">
        <v>287.88</v>
      </c>
      <c r="G118" s="327">
        <v>320.64</v>
      </c>
      <c r="H118" s="327">
        <v>351.08000000000004</v>
      </c>
      <c r="I118" s="328">
        <v>375</v>
      </c>
      <c r="J118" s="295">
        <v>251.84000000000003</v>
      </c>
      <c r="K118" s="327">
        <v>286.39999999999998</v>
      </c>
      <c r="L118" s="327">
        <v>318.64</v>
      </c>
      <c r="M118" s="327">
        <v>348.56</v>
      </c>
      <c r="N118" s="328">
        <v>372.76</v>
      </c>
    </row>
    <row r="119" spans="4:14" x14ac:dyDescent="0.3">
      <c r="D119" s="271" t="s">
        <v>147</v>
      </c>
      <c r="E119" s="288">
        <v>253.08</v>
      </c>
      <c r="F119" s="289">
        <v>287.88</v>
      </c>
      <c r="G119" s="289">
        <v>320.64</v>
      </c>
      <c r="H119" s="289">
        <v>351.08000000000004</v>
      </c>
      <c r="I119" s="290">
        <v>375</v>
      </c>
      <c r="J119" s="288">
        <v>251.84000000000003</v>
      </c>
      <c r="K119" s="289">
        <v>286.39999999999998</v>
      </c>
      <c r="L119" s="289">
        <v>318.64</v>
      </c>
      <c r="M119" s="289">
        <v>348.56</v>
      </c>
      <c r="N119" s="290">
        <v>372.76</v>
      </c>
    </row>
    <row r="120" spans="4:14" x14ac:dyDescent="0.3">
      <c r="D120" s="271" t="s">
        <v>169</v>
      </c>
      <c r="E120" s="282">
        <v>3.8</v>
      </c>
      <c r="F120" s="355">
        <v>4.3</v>
      </c>
      <c r="G120" s="311">
        <v>4.8099999999999996</v>
      </c>
      <c r="H120" s="312">
        <v>5.35</v>
      </c>
      <c r="I120" s="313">
        <v>6.03</v>
      </c>
      <c r="J120" s="282">
        <v>3.78</v>
      </c>
      <c r="K120" s="355">
        <v>4.2699999999999996</v>
      </c>
      <c r="L120" s="311">
        <v>4.79</v>
      </c>
      <c r="M120" s="312">
        <v>5.34</v>
      </c>
      <c r="N120" s="313">
        <v>6</v>
      </c>
    </row>
    <row r="121" spans="4:14" x14ac:dyDescent="0.3">
      <c r="D121" s="271" t="s">
        <v>170</v>
      </c>
      <c r="E121" s="310">
        <v>2.13</v>
      </c>
      <c r="F121" s="355">
        <v>2.4300000000000002</v>
      </c>
      <c r="G121" s="311">
        <v>2.7</v>
      </c>
      <c r="H121" s="311">
        <v>2.93</v>
      </c>
      <c r="I121" s="358">
        <v>3.03</v>
      </c>
      <c r="J121" s="310">
        <v>2.12</v>
      </c>
      <c r="K121" s="355">
        <v>2.42</v>
      </c>
      <c r="L121" s="311">
        <v>2.68</v>
      </c>
      <c r="M121" s="311">
        <v>2.9</v>
      </c>
      <c r="N121" s="358">
        <v>3.01</v>
      </c>
    </row>
    <row r="122" spans="4:14" x14ac:dyDescent="0.3">
      <c r="D122" s="271" t="s">
        <v>171</v>
      </c>
      <c r="E122" s="330">
        <v>90.428571428571431</v>
      </c>
      <c r="F122" s="320">
        <v>97.571428571428569</v>
      </c>
      <c r="G122" s="320">
        <v>108.42857142857143</v>
      </c>
      <c r="H122" s="320">
        <v>116.71428571428571</v>
      </c>
      <c r="I122" s="294">
        <v>129.57142857142858</v>
      </c>
      <c r="J122" s="330">
        <v>97.857142857142861</v>
      </c>
      <c r="K122" s="320">
        <v>105.42857142857143</v>
      </c>
      <c r="L122" s="320">
        <v>116.14285714285714</v>
      </c>
      <c r="M122" s="320">
        <v>124.85714285714286</v>
      </c>
      <c r="N122" s="294">
        <v>138.28571428571428</v>
      </c>
    </row>
    <row r="123" spans="4:14" x14ac:dyDescent="0.3">
      <c r="D123" s="271" t="s">
        <v>172</v>
      </c>
      <c r="E123" s="276">
        <v>81</v>
      </c>
      <c r="F123" s="277">
        <v>87.2</v>
      </c>
      <c r="G123" s="277">
        <v>96.36</v>
      </c>
      <c r="H123" s="277">
        <v>104.07999999999998</v>
      </c>
      <c r="I123" s="278">
        <v>113.91999999999999</v>
      </c>
      <c r="J123" s="276">
        <v>86.92</v>
      </c>
      <c r="K123" s="277">
        <v>93.36</v>
      </c>
      <c r="L123" s="277">
        <v>102</v>
      </c>
      <c r="M123" s="277">
        <v>109.96</v>
      </c>
      <c r="N123" s="278">
        <v>120.56</v>
      </c>
    </row>
    <row r="124" spans="4:14" x14ac:dyDescent="0.3">
      <c r="D124" s="271" t="s">
        <v>105</v>
      </c>
      <c r="E124" s="314">
        <v>119</v>
      </c>
      <c r="F124" s="285">
        <v>129</v>
      </c>
      <c r="G124" s="347">
        <v>145</v>
      </c>
      <c r="H124" s="347">
        <v>155</v>
      </c>
      <c r="I124" s="294">
        <v>177</v>
      </c>
      <c r="J124" s="314">
        <v>131</v>
      </c>
      <c r="K124" s="285">
        <v>142</v>
      </c>
      <c r="L124" s="347">
        <v>159</v>
      </c>
      <c r="M124" s="347">
        <v>170</v>
      </c>
      <c r="N124" s="294">
        <v>192</v>
      </c>
    </row>
    <row r="125" spans="4:14" x14ac:dyDescent="0.3">
      <c r="D125" s="271" t="s">
        <v>106</v>
      </c>
      <c r="E125" s="373">
        <v>69</v>
      </c>
      <c r="F125" s="356">
        <v>74</v>
      </c>
      <c r="G125" s="332">
        <v>81</v>
      </c>
      <c r="H125" s="332">
        <v>88</v>
      </c>
      <c r="I125" s="294">
        <v>94</v>
      </c>
      <c r="J125" s="373">
        <v>73</v>
      </c>
      <c r="K125" s="356">
        <v>78</v>
      </c>
      <c r="L125" s="332">
        <v>84</v>
      </c>
      <c r="M125" s="332">
        <v>91</v>
      </c>
      <c r="N125" s="294">
        <v>98</v>
      </c>
    </row>
    <row r="126" spans="4:14" x14ac:dyDescent="0.3">
      <c r="D126" s="292" t="s">
        <v>150</v>
      </c>
      <c r="E126" s="362">
        <v>8.2638888888888887E-2</v>
      </c>
      <c r="F126" s="363">
        <v>8.9583333333333334E-2</v>
      </c>
      <c r="G126" s="363">
        <v>0.10069444444444445</v>
      </c>
      <c r="H126" s="363">
        <v>0.1076388888888889</v>
      </c>
      <c r="I126" s="361">
        <v>0.12291666666666666</v>
      </c>
      <c r="J126" s="362">
        <v>9.0972222222222218E-2</v>
      </c>
      <c r="K126" s="363">
        <v>9.8611111111111108E-2</v>
      </c>
      <c r="L126" s="363">
        <v>0.11041666666666666</v>
      </c>
      <c r="M126" s="363">
        <v>0.11805555555555555</v>
      </c>
      <c r="N126" s="361">
        <v>0.13333333333333333</v>
      </c>
    </row>
    <row r="127" spans="4:14" x14ac:dyDescent="0.3">
      <c r="D127" s="272" t="s">
        <v>141</v>
      </c>
      <c r="E127" s="315" t="s">
        <v>176</v>
      </c>
      <c r="F127" s="351" t="s">
        <v>176</v>
      </c>
      <c r="G127" s="351" t="s">
        <v>176</v>
      </c>
      <c r="H127" s="351" t="s">
        <v>176</v>
      </c>
      <c r="I127" s="287" t="s">
        <v>176</v>
      </c>
      <c r="J127" s="315" t="s">
        <v>176</v>
      </c>
      <c r="K127" s="351" t="s">
        <v>176</v>
      </c>
      <c r="L127" s="351" t="s">
        <v>176</v>
      </c>
      <c r="M127" s="351" t="s">
        <v>176</v>
      </c>
      <c r="N127" s="287" t="s">
        <v>176</v>
      </c>
    </row>
    <row r="128" spans="4:14" x14ac:dyDescent="0.3">
      <c r="D128" s="345" t="s">
        <v>142</v>
      </c>
      <c r="E128" s="364" t="s">
        <v>176</v>
      </c>
      <c r="F128" s="293" t="s">
        <v>176</v>
      </c>
      <c r="G128" s="293" t="s">
        <v>176</v>
      </c>
      <c r="H128" s="293" t="s">
        <v>176</v>
      </c>
      <c r="I128" s="338" t="s">
        <v>176</v>
      </c>
      <c r="J128" s="364" t="s">
        <v>176</v>
      </c>
      <c r="K128" s="293" t="s">
        <v>176</v>
      </c>
      <c r="L128" s="293" t="s">
        <v>176</v>
      </c>
      <c r="M128" s="293" t="s">
        <v>176</v>
      </c>
      <c r="N128" s="338" t="s">
        <v>176</v>
      </c>
    </row>
    <row r="129" spans="4:14" x14ac:dyDescent="0.3">
      <c r="D129" s="360" t="s">
        <v>107</v>
      </c>
      <c r="E129" s="341" t="s">
        <v>176</v>
      </c>
      <c r="F129" s="365" t="s">
        <v>176</v>
      </c>
      <c r="G129" s="365" t="s">
        <v>176</v>
      </c>
      <c r="H129" s="365" t="s">
        <v>176</v>
      </c>
      <c r="I129" s="328" t="s">
        <v>176</v>
      </c>
      <c r="J129" s="341" t="s">
        <v>176</v>
      </c>
      <c r="K129" s="365" t="s">
        <v>176</v>
      </c>
      <c r="L129" s="365" t="s">
        <v>176</v>
      </c>
      <c r="M129" s="365" t="s">
        <v>176</v>
      </c>
      <c r="N129" s="328" t="s">
        <v>176</v>
      </c>
    </row>
    <row r="130" spans="4:14" x14ac:dyDescent="0.3">
      <c r="D130" s="272" t="s">
        <v>108</v>
      </c>
      <c r="E130" s="334" t="s">
        <v>176</v>
      </c>
      <c r="F130" s="335" t="s">
        <v>176</v>
      </c>
      <c r="G130" s="335" t="s">
        <v>176</v>
      </c>
      <c r="H130" s="335" t="s">
        <v>176</v>
      </c>
      <c r="I130" s="294" t="s">
        <v>176</v>
      </c>
      <c r="J130" s="334" t="s">
        <v>176</v>
      </c>
      <c r="K130" s="335" t="s">
        <v>176</v>
      </c>
      <c r="L130" s="335" t="s">
        <v>176</v>
      </c>
      <c r="M130" s="335" t="s">
        <v>176</v>
      </c>
      <c r="N130" s="294" t="s">
        <v>176</v>
      </c>
    </row>
    <row r="131" spans="4:14" x14ac:dyDescent="0.3">
      <c r="D131" s="272" t="s">
        <v>109</v>
      </c>
      <c r="E131" s="334" t="s">
        <v>176</v>
      </c>
      <c r="F131" s="335" t="s">
        <v>176</v>
      </c>
      <c r="G131" s="335" t="s">
        <v>176</v>
      </c>
      <c r="H131" s="335" t="s">
        <v>176</v>
      </c>
      <c r="I131" s="294" t="s">
        <v>176</v>
      </c>
      <c r="J131" s="334" t="s">
        <v>176</v>
      </c>
      <c r="K131" s="335" t="s">
        <v>176</v>
      </c>
      <c r="L131" s="335" t="s">
        <v>176</v>
      </c>
      <c r="M131" s="335" t="s">
        <v>176</v>
      </c>
      <c r="N131" s="294" t="s">
        <v>176</v>
      </c>
    </row>
    <row r="132" spans="4:14" x14ac:dyDescent="0.3">
      <c r="D132" s="292" t="s">
        <v>110</v>
      </c>
      <c r="E132" s="354">
        <v>68</v>
      </c>
      <c r="F132" s="352">
        <v>68</v>
      </c>
      <c r="G132" s="352">
        <v>67</v>
      </c>
      <c r="H132" s="352">
        <v>67</v>
      </c>
      <c r="I132" s="329">
        <v>67</v>
      </c>
      <c r="J132" s="354">
        <v>68</v>
      </c>
      <c r="K132" s="352">
        <v>68</v>
      </c>
      <c r="L132" s="352">
        <v>67</v>
      </c>
      <c r="M132" s="352">
        <v>67</v>
      </c>
      <c r="N132" s="329">
        <v>67</v>
      </c>
    </row>
    <row r="133" spans="4:14" x14ac:dyDescent="0.3">
      <c r="D133" s="346" t="s">
        <v>143</v>
      </c>
      <c r="E133" s="333" t="s">
        <v>74</v>
      </c>
      <c r="F133" s="352" t="s">
        <v>74</v>
      </c>
      <c r="G133" s="352" t="s">
        <v>74</v>
      </c>
      <c r="H133" s="352" t="s">
        <v>70</v>
      </c>
      <c r="I133" s="353" t="s">
        <v>70</v>
      </c>
      <c r="J133" s="333" t="s">
        <v>74</v>
      </c>
      <c r="K133" s="352" t="s">
        <v>74</v>
      </c>
      <c r="L133" s="352" t="s">
        <v>74</v>
      </c>
      <c r="M133" s="352" t="s">
        <v>70</v>
      </c>
      <c r="N133" s="353" t="s">
        <v>70</v>
      </c>
    </row>
    <row r="134" spans="4:14" x14ac:dyDescent="0.3">
      <c r="D134" s="271" t="s">
        <v>111</v>
      </c>
      <c r="E134" s="310">
        <v>0.5</v>
      </c>
      <c r="F134" s="281">
        <v>0.5</v>
      </c>
      <c r="G134" s="281">
        <v>0.5</v>
      </c>
      <c r="H134" s="281">
        <v>0.5</v>
      </c>
      <c r="I134" s="283">
        <v>0.5</v>
      </c>
      <c r="J134" s="310">
        <v>0.5</v>
      </c>
      <c r="K134" s="281">
        <v>0.5</v>
      </c>
      <c r="L134" s="281">
        <v>0.5</v>
      </c>
      <c r="M134" s="281">
        <v>0.5</v>
      </c>
      <c r="N134" s="283">
        <v>0.5</v>
      </c>
    </row>
    <row r="135" spans="4:14" x14ac:dyDescent="0.3">
      <c r="D135" s="271" t="s">
        <v>112</v>
      </c>
      <c r="E135" s="310">
        <v>0.5</v>
      </c>
      <c r="F135" s="281">
        <v>0.5</v>
      </c>
      <c r="G135" s="281">
        <v>0.5</v>
      </c>
      <c r="H135" s="281">
        <v>0.5</v>
      </c>
      <c r="I135" s="283">
        <v>0.5</v>
      </c>
      <c r="J135" s="310">
        <v>0.5</v>
      </c>
      <c r="K135" s="281">
        <v>0.5</v>
      </c>
      <c r="L135" s="281">
        <v>0.5</v>
      </c>
      <c r="M135" s="281">
        <v>0.5</v>
      </c>
      <c r="N135" s="283">
        <v>0.5</v>
      </c>
    </row>
    <row r="136" spans="4:14" x14ac:dyDescent="0.3">
      <c r="D136" s="271" t="s">
        <v>113</v>
      </c>
      <c r="E136" s="349">
        <v>5</v>
      </c>
      <c r="F136" s="277">
        <v>5</v>
      </c>
      <c r="G136" s="279">
        <v>5</v>
      </c>
      <c r="H136" s="279">
        <v>5</v>
      </c>
      <c r="I136" s="336">
        <v>5</v>
      </c>
      <c r="J136" s="349">
        <v>5</v>
      </c>
      <c r="K136" s="277">
        <v>5</v>
      </c>
      <c r="L136" s="279">
        <v>5</v>
      </c>
      <c r="M136" s="279">
        <v>5</v>
      </c>
      <c r="N136" s="336">
        <v>5</v>
      </c>
    </row>
    <row r="137" spans="4:14" x14ac:dyDescent="0.3">
      <c r="D137" s="271" t="s">
        <v>114</v>
      </c>
      <c r="E137" s="282">
        <v>4.75</v>
      </c>
      <c r="F137" s="300">
        <v>5.375</v>
      </c>
      <c r="G137" s="357">
        <v>6.0124999999999993</v>
      </c>
      <c r="H137" s="300">
        <v>6.6875</v>
      </c>
      <c r="I137" s="301">
        <v>7.5375000000000005</v>
      </c>
      <c r="J137" s="282">
        <v>4.7249999999999996</v>
      </c>
      <c r="K137" s="300">
        <v>5.3374999999999995</v>
      </c>
      <c r="L137" s="357">
        <v>5.9874999999999998</v>
      </c>
      <c r="M137" s="300">
        <v>6.6749999999999998</v>
      </c>
      <c r="N137" s="301">
        <v>7.5</v>
      </c>
    </row>
    <row r="138" spans="4:14" x14ac:dyDescent="0.3">
      <c r="D138" s="271" t="s">
        <v>115</v>
      </c>
      <c r="E138" s="276">
        <v>148.75</v>
      </c>
      <c r="F138" s="303">
        <v>161.25</v>
      </c>
      <c r="G138" s="303">
        <v>181.25</v>
      </c>
      <c r="H138" s="303">
        <v>193.75</v>
      </c>
      <c r="I138" s="304">
        <v>221.25</v>
      </c>
      <c r="J138" s="276">
        <v>163.75</v>
      </c>
      <c r="K138" s="303">
        <v>177.5</v>
      </c>
      <c r="L138" s="303">
        <v>198.75</v>
      </c>
      <c r="M138" s="303">
        <v>212.5</v>
      </c>
      <c r="N138" s="304">
        <v>240</v>
      </c>
    </row>
    <row r="139" spans="4:14" x14ac:dyDescent="0.3">
      <c r="D139" s="271" t="s">
        <v>116</v>
      </c>
      <c r="E139" s="282">
        <v>4.18</v>
      </c>
      <c r="F139" s="275">
        <v>4.7300000000000004</v>
      </c>
      <c r="G139" s="275">
        <v>5.2910000000000004</v>
      </c>
      <c r="H139" s="275">
        <v>5.8849999999999998</v>
      </c>
      <c r="I139" s="305">
        <v>6.6330000000000009</v>
      </c>
      <c r="J139" s="282">
        <v>4.1580000000000004</v>
      </c>
      <c r="K139" s="275">
        <v>4.6970000000000001</v>
      </c>
      <c r="L139" s="275">
        <v>5.2690000000000001</v>
      </c>
      <c r="M139" s="275">
        <v>5.8740000000000006</v>
      </c>
      <c r="N139" s="305">
        <v>6.6000000000000005</v>
      </c>
    </row>
    <row r="140" spans="4:14" x14ac:dyDescent="0.3">
      <c r="D140" s="271" t="s">
        <v>115</v>
      </c>
      <c r="E140" s="276">
        <v>130.9</v>
      </c>
      <c r="F140" s="277">
        <v>141.9</v>
      </c>
      <c r="G140" s="277">
        <v>159.5</v>
      </c>
      <c r="H140" s="277">
        <v>170.5</v>
      </c>
      <c r="I140" s="298">
        <v>194.70000000000002</v>
      </c>
      <c r="J140" s="276">
        <v>144.10000000000002</v>
      </c>
      <c r="K140" s="277">
        <v>156.20000000000002</v>
      </c>
      <c r="L140" s="277">
        <v>174.9</v>
      </c>
      <c r="M140" s="277">
        <v>187.00000000000003</v>
      </c>
      <c r="N140" s="298">
        <v>211.20000000000002</v>
      </c>
    </row>
    <row r="141" spans="4:14" x14ac:dyDescent="0.3">
      <c r="D141" s="269" t="s">
        <v>117</v>
      </c>
      <c r="E141" s="282">
        <v>3.04</v>
      </c>
      <c r="F141" s="275">
        <v>3.44</v>
      </c>
      <c r="G141" s="275">
        <v>3.8479999999999999</v>
      </c>
      <c r="H141" s="275">
        <v>4.28</v>
      </c>
      <c r="I141" s="305">
        <v>4.8240000000000007</v>
      </c>
      <c r="J141" s="282">
        <v>3.024</v>
      </c>
      <c r="K141" s="275">
        <v>3.4159999999999999</v>
      </c>
      <c r="L141" s="275">
        <v>3.8320000000000003</v>
      </c>
      <c r="M141" s="275">
        <v>4.2720000000000002</v>
      </c>
      <c r="N141" s="305">
        <v>4.8000000000000007</v>
      </c>
    </row>
    <row r="142" spans="4:14" ht="15" thickBot="1" x14ac:dyDescent="0.35">
      <c r="D142" s="271" t="s">
        <v>118</v>
      </c>
      <c r="E142" s="308">
        <v>95.2</v>
      </c>
      <c r="F142" s="306">
        <v>103.2</v>
      </c>
      <c r="G142" s="306">
        <v>116</v>
      </c>
      <c r="H142" s="306">
        <v>124</v>
      </c>
      <c r="I142" s="307">
        <v>141.6</v>
      </c>
      <c r="J142" s="308">
        <v>104.80000000000001</v>
      </c>
      <c r="K142" s="306">
        <v>113.60000000000001</v>
      </c>
      <c r="L142" s="306">
        <v>127.2</v>
      </c>
      <c r="M142" s="306">
        <v>136</v>
      </c>
      <c r="N142" s="307">
        <v>153.60000000000002</v>
      </c>
    </row>
  </sheetData>
  <mergeCells count="27">
    <mergeCell ref="E44:H44"/>
    <mergeCell ref="E77:I77"/>
    <mergeCell ref="E111:I111"/>
    <mergeCell ref="J111:N111"/>
    <mergeCell ref="E112:I112"/>
    <mergeCell ref="J112:N112"/>
    <mergeCell ref="V3:Z3"/>
    <mergeCell ref="I42:M42"/>
    <mergeCell ref="E43:F43"/>
    <mergeCell ref="G43:H43"/>
    <mergeCell ref="I43:M43"/>
    <mergeCell ref="AA3:AE3"/>
    <mergeCell ref="E76:I76"/>
    <mergeCell ref="AF3:AL3"/>
    <mergeCell ref="AM3:AQ3"/>
    <mergeCell ref="E4:J4"/>
    <mergeCell ref="K4:O4"/>
    <mergeCell ref="P4:R4"/>
    <mergeCell ref="S4:U4"/>
    <mergeCell ref="V4:Z4"/>
    <mergeCell ref="AA4:AE4"/>
    <mergeCell ref="AF4:AL4"/>
    <mergeCell ref="AM4:AQ4"/>
    <mergeCell ref="E3:J3"/>
    <mergeCell ref="K3:O3"/>
    <mergeCell ref="P3:R3"/>
    <mergeCell ref="S3:U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5</vt:i4>
      </vt:variant>
      <vt:variant>
        <vt:lpstr>Adlandırılmış Aralıklar</vt:lpstr>
      </vt:variant>
      <vt:variant>
        <vt:i4>1</vt:i4>
      </vt:variant>
    </vt:vector>
  </HeadingPairs>
  <TitlesOfParts>
    <vt:vector size="6" baseType="lpstr">
      <vt:lpstr>Summary of results</vt:lpstr>
      <vt:lpstr>Table tests</vt:lpstr>
      <vt:lpstr>Components</vt:lpstr>
      <vt:lpstr>TD info</vt:lpstr>
      <vt:lpstr>OLD TD info</vt:lpstr>
      <vt:lpstr>'Summary of results'!Yazdırma_Alanı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Giancarlo Paleari</dc:creator>
  <cp:lastModifiedBy>Efe ÖZKAYNAK</cp:lastModifiedBy>
  <cp:lastPrinted>2025-07-18T13:26:51Z</cp:lastPrinted>
  <dcterms:created xsi:type="dcterms:W3CDTF">2014-06-04T07:43:45Z</dcterms:created>
  <dcterms:modified xsi:type="dcterms:W3CDTF">2026-05-17T14:03:28Z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